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agent\game-hall\game-hall-third-party-games\crazyfutures\"/>
    </mc:Choice>
  </mc:AlternateContent>
  <bookViews>
    <workbookView windowWidth="28800" windowHeight="12375" activeTab="1"/>
  </bookViews>
  <sheets>
    <sheet name="总览" sheetId="1" r:id="rId1"/>
    <sheet name="个人牌设计" sheetId="2" r:id="rId2"/>
    <sheet name="个人牌印刷清单" sheetId="3" r:id="rId3"/>
    <sheet name="公共事件牌" sheetId="4" r:id="rId4"/>
    <sheet name="平衡校验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<sst xmlns="http://schemas.openxmlformats.org/spreadsheetml/2006/main" count="2524" uniqueCount="589">
  <si>
    <t>《疯狂期货》卡牌设计总览</t>
  </si>
  <si>
    <t>160 张个人牌 + 20 张公共事件牌｜时间口径：1 回合 = 1 个月，完整游戏 = 连续 8 个月</t>
  </si>
  <si>
    <t>核心口径</t>
  </si>
  <si>
    <t>数值</t>
  </si>
  <si>
    <t>个人牌类别</t>
  </si>
  <si>
    <t>不同设计</t>
  </si>
  <si>
    <t>印刷张数</t>
  </si>
  <si>
    <t>占比</t>
  </si>
  <si>
    <t>每回合代表时间</t>
  </si>
  <si>
    <t>单商品即时信息</t>
  </si>
  <si>
    <t>完整游戏时间</t>
  </si>
  <si>
    <t>宏观与联动信息</t>
  </si>
  <si>
    <t>个人牌不同设计</t>
  </si>
  <si>
    <t>持续信息</t>
  </si>
  <si>
    <t>个人牌实体张数</t>
  </si>
  <si>
    <t>功能牌</t>
  </si>
  <si>
    <t>公共事件牌张数</t>
  </si>
  <si>
    <t>合计</t>
  </si>
  <si>
    <t>个人牌强度</t>
  </si>
  <si>
    <t>实体张数</t>
  </si>
  <si>
    <t>公共牌强度</t>
  </si>
  <si>
    <t>张数</t>
  </si>
  <si>
    <t>说明</t>
  </si>
  <si>
    <t>普通</t>
  </si>
  <si>
    <t>强烈</t>
  </si>
  <si>
    <t>±2 格或多商品同步 ±1 格</t>
  </si>
  <si>
    <t>危机</t>
  </si>
  <si>
    <t>单商品 ±3 格</t>
  </si>
  <si>
    <t>趋势</t>
  </si>
  <si>
    <t>连续 3 个月，每月触发</t>
  </si>
  <si>
    <t>修正</t>
  </si>
  <si>
    <t>移除一张持续事件</t>
  </si>
  <si>
    <t>功能</t>
  </si>
  <si>
    <t>强修正</t>
  </si>
  <si>
    <t>移除全部持续事件</t>
  </si>
  <si>
    <t>20 张</t>
  </si>
  <si>
    <t>时间规则：第 1—8 回合依次代表第 1—8 个月。个人趋势牌在本月与下个月结算时触发；公共趋势事件在本月及之后两个月结算时触发。若游戏先结束，未触发的剩余月份直接失效。</t>
  </si>
  <si>
    <t>强度原则：现货没有单月涨跌上限，所有当月牌效累加；价格表只受阶梯首尾边界限制。卡牌从不直接移动期货价格，期货涨跌停机制保持不变。</t>
  </si>
  <si>
    <t>口径提醒：最终版规则书部分章节仍写作 140 张个人信息牌；本工作簿按用户最新确认的 160 张个人牌制作。</t>
  </si>
  <si>
    <t>160 张个人牌 - 设计表</t>
  </si>
  <si>
    <t>每行代表一种设计；1 回合 = 1 个月。O—X 为公式计算字段，用于核对强度、持续月份与方向平衡。</t>
  </si>
  <si>
    <t>设计编号</t>
  </si>
  <si>
    <t>卡名</t>
  </si>
  <si>
    <t>类别</t>
  </si>
  <si>
    <t>强度</t>
  </si>
  <si>
    <t>子类型</t>
  </si>
  <si>
    <t>目标商品</t>
  </si>
  <si>
    <t>使用时点</t>
  </si>
  <si>
    <t>卡面效果</t>
  </si>
  <si>
    <t>持续/月度时点</t>
  </si>
  <si>
    <t>关键词</t>
  </si>
  <si>
    <t>方向</t>
  </si>
  <si>
    <t>每月总影响格数</t>
  </si>
  <si>
    <t>作用月数</t>
  </si>
  <si>
    <t>单牌等效总格数</t>
  </si>
  <si>
    <t>牌堆等效总格数</t>
  </si>
  <si>
    <t>原油每月</t>
  </si>
  <si>
    <t>黄金每月</t>
  </si>
  <si>
    <t>棉花每月</t>
  </si>
  <si>
    <t>铜每月</t>
  </si>
  <si>
    <t>原油牌堆等效</t>
  </si>
  <si>
    <t>黄金牌堆等效</t>
  </si>
  <si>
    <t>棉花牌堆等效</t>
  </si>
  <si>
    <t>铜牌堆等效</t>
  </si>
  <si>
    <t>PI-OIL-01</t>
  </si>
  <si>
    <t>OPEC 超预期减产</t>
  </si>
  <si>
    <t>单次上涨</t>
  </si>
  <si>
    <t>原油</t>
  </si>
  <si>
    <t>出牌阶段</t>
  </si>
  <si>
    <t>原油现货上涨 1 格。</t>
  </si>
  <si>
    <t>本月立即结算；不跨月</t>
  </si>
  <si>
    <t>单次；上涨；普通</t>
  </si>
  <si>
    <t>上涨</t>
  </si>
  <si>
    <t>PI-OIL-02</t>
  </si>
  <si>
    <t>海湾航道受阻</t>
  </si>
  <si>
    <t>PI-OIL-03</t>
  </si>
  <si>
    <t>美国原油库存骤降</t>
  </si>
  <si>
    <t>PI-OIL-04</t>
  </si>
  <si>
    <t>页岩油钻机数大降</t>
  </si>
  <si>
    <t>原油现货上涨 2 格。</t>
  </si>
  <si>
    <t>单次；上涨；强烈</t>
  </si>
  <si>
    <t>PI-OIL-05</t>
  </si>
  <si>
    <t>霍尔木兹海峡全面封锁</t>
  </si>
  <si>
    <t>原油现货上涨 3 格。</t>
  </si>
  <si>
    <t>单次；上涨；危机</t>
  </si>
  <si>
    <t>PI-OIL-06</t>
  </si>
  <si>
    <t>OPEC 增产分歧</t>
  </si>
  <si>
    <t>单次下跌</t>
  </si>
  <si>
    <t>原油现货下跌 1 格。</t>
  </si>
  <si>
    <t>单次；下跌；普通</t>
  </si>
  <si>
    <t>下跌</t>
  </si>
  <si>
    <t>PI-OIL-07</t>
  </si>
  <si>
    <t>战略储备释放</t>
  </si>
  <si>
    <t>PI-OIL-08</t>
  </si>
  <si>
    <t>美国库存意外累积</t>
  </si>
  <si>
    <t>PI-OIL-09</t>
  </si>
  <si>
    <t>全球原油需求骤降</t>
  </si>
  <si>
    <t>原油现货下跌 2 格。</t>
  </si>
  <si>
    <t>单次；下跌；强烈</t>
  </si>
  <si>
    <t>PI-OIL-10</t>
  </si>
  <si>
    <t>主要产油国全面价格战</t>
  </si>
  <si>
    <t>原油现货下跌 3 格。</t>
  </si>
  <si>
    <t>单次；下跌；危机</t>
  </si>
  <si>
    <t>PI-GOLD-01</t>
  </si>
  <si>
    <t>美联储释放降息信号</t>
  </si>
  <si>
    <t>黄金</t>
  </si>
  <si>
    <t>黄金现货上涨 1 格。</t>
  </si>
  <si>
    <t>PI-GOLD-02</t>
  </si>
  <si>
    <t>地缘避险升温</t>
  </si>
  <si>
    <t>PI-GOLD-03</t>
  </si>
  <si>
    <t>全球央行增持黄金</t>
  </si>
  <si>
    <t>PI-GOLD-04</t>
  </si>
  <si>
    <t>实际利率快速回落</t>
  </si>
  <si>
    <t>黄金现货上涨 2 格。</t>
  </si>
  <si>
    <t>PI-GOLD-05</t>
  </si>
  <si>
    <t>全球金融系统性危机</t>
  </si>
  <si>
    <t>黄金现货上涨 3 格。</t>
  </si>
  <si>
    <t>PI-GOLD-06</t>
  </si>
  <si>
    <t>美联储鹰派加息</t>
  </si>
  <si>
    <t>黄金现货下跌 1 格。</t>
  </si>
  <si>
    <t>PI-GOLD-07</t>
  </si>
  <si>
    <t>风险偏好全面回归</t>
  </si>
  <si>
    <t>PI-GOLD-08</t>
  </si>
  <si>
    <t>全球央行减持黄金</t>
  </si>
  <si>
    <t>PI-GOLD-09</t>
  </si>
  <si>
    <t>实际利率急剧上行</t>
  </si>
  <si>
    <t>黄金现货下跌 2 格。</t>
  </si>
  <si>
    <t>PI-GOLD-10</t>
  </si>
  <si>
    <t>主要央行联合抛售黄金</t>
  </si>
  <si>
    <t>黄金现货下跌 3 格。</t>
  </si>
  <si>
    <t>PI-COTTON-01</t>
  </si>
  <si>
    <t>主产区极端干旱</t>
  </si>
  <si>
    <t>棉花</t>
  </si>
  <si>
    <t>棉花现货上涨 1 格。</t>
  </si>
  <si>
    <t>PI-COTTON-02</t>
  </si>
  <si>
    <t>虫害预警升级</t>
  </si>
  <si>
    <t>PI-COTTON-03</t>
  </si>
  <si>
    <t>出口订单超预期</t>
  </si>
  <si>
    <t>PI-COTTON-04</t>
  </si>
  <si>
    <t>主产区减产预警</t>
  </si>
  <si>
    <t>棉花现货上涨 2 格。</t>
  </si>
  <si>
    <t>PI-COTTON-05</t>
  </si>
  <si>
    <t>全球主产区极端气候灾难</t>
  </si>
  <si>
    <t>棉花现货上涨 3 格。</t>
  </si>
  <si>
    <t>PI-COTTON-06</t>
  </si>
  <si>
    <t>主产区丰收预期</t>
  </si>
  <si>
    <t>棉花现货下跌 1 格。</t>
  </si>
  <si>
    <t>PI-COTTON-07</t>
  </si>
  <si>
    <t>国储棉集中投放</t>
  </si>
  <si>
    <t>PI-COTTON-08</t>
  </si>
  <si>
    <t>纺织订单下滑</t>
  </si>
  <si>
    <t>PI-COTTON-09</t>
  </si>
  <si>
    <t>全球纺织需求骤降</t>
  </si>
  <si>
    <t>棉花现货下跌 2 格。</t>
  </si>
  <si>
    <t>PI-COTTON-10</t>
  </si>
  <si>
    <t>主产国历史性丰收</t>
  </si>
  <si>
    <t>棉花现货下跌 3 格。</t>
  </si>
  <si>
    <t>PI-COPPER-01</t>
  </si>
  <si>
    <t>全球电网投资提速</t>
  </si>
  <si>
    <t>铜</t>
  </si>
  <si>
    <t>铜现货上涨 1 格。</t>
  </si>
  <si>
    <t>PI-COPPER-02</t>
  </si>
  <si>
    <t>主要铜矿罢工</t>
  </si>
  <si>
    <t>PI-COPPER-03</t>
  </si>
  <si>
    <t>新能源补贴加码</t>
  </si>
  <si>
    <t>PI-COPPER-04</t>
  </si>
  <si>
    <t>精炼铜库存降至警戒线</t>
  </si>
  <si>
    <t>铜现货上涨 2 格。</t>
  </si>
  <si>
    <t>PI-COPPER-05</t>
  </si>
  <si>
    <t>全球主要铜矿同时停产</t>
  </si>
  <si>
    <t>铜现货上涨 3 格。</t>
  </si>
  <si>
    <t>PI-COPPER-06</t>
  </si>
  <si>
    <t>房地产开工骤降</t>
  </si>
  <si>
    <t>铜现货下跌 1 格。</t>
  </si>
  <si>
    <t>PI-COPPER-07</t>
  </si>
  <si>
    <t>主要铜矿复产</t>
  </si>
  <si>
    <t>PI-COPPER-08</t>
  </si>
  <si>
    <t>新能源补贴退坡</t>
  </si>
  <si>
    <t>PI-COPPER-09</t>
  </si>
  <si>
    <t>全球制造业衰退</t>
  </si>
  <si>
    <t>铜现货下跌 2 格。</t>
  </si>
  <si>
    <t>PI-COPPER-10</t>
  </si>
  <si>
    <t>房地产投资断崖式收缩</t>
  </si>
  <si>
    <t>铜现货下跌 3 格。</t>
  </si>
  <si>
    <t>PI-MACRO-01</t>
  </si>
  <si>
    <t>联储超预期降息</t>
  </si>
  <si>
    <t>选择上涨</t>
  </si>
  <si>
    <t>黄金或铜</t>
  </si>
  <si>
    <t>选择黄金或铜，使其现货上涨 1 格。</t>
  </si>
  <si>
    <t>单次；宏观；普通</t>
  </si>
  <si>
    <t>PI-MACRO-02</t>
  </si>
  <si>
    <t>联储超预期加息</t>
  </si>
  <si>
    <t>选择下跌</t>
  </si>
  <si>
    <t>选择黄金或铜，使其现货下跌 1 格。</t>
  </si>
  <si>
    <t>PI-MACRO-03</t>
  </si>
  <si>
    <t>全球制造业 PMI 回升</t>
  </si>
  <si>
    <t>铜或棉花</t>
  </si>
  <si>
    <t>选择铜或棉花，使其现货上涨 1 格。</t>
  </si>
  <si>
    <t>PI-MACRO-04</t>
  </si>
  <si>
    <t>全球制造业 PMI 收缩</t>
  </si>
  <si>
    <t>选择铜或棉花，使其现货下跌 1 格。</t>
  </si>
  <si>
    <t>PI-MACRO-05</t>
  </si>
  <si>
    <t>国际海运费飙升</t>
  </si>
  <si>
    <t>原油或棉花</t>
  </si>
  <si>
    <t>选择原油或棉花，使其现货上涨 1 格。</t>
  </si>
  <si>
    <t>PI-MACRO-06</t>
  </si>
  <si>
    <t>国际海运费回落</t>
  </si>
  <si>
    <t>选择原油或棉花，使其现货下跌 1 格。</t>
  </si>
  <si>
    <t>PI-MACRO-07</t>
  </si>
  <si>
    <t>全球避险情绪升温</t>
  </si>
  <si>
    <t>双商品联动</t>
  </si>
  <si>
    <t>黄金、铜</t>
  </si>
  <si>
    <t>黄金现货上涨 1 格，同时铜现货下跌 1 格。</t>
  </si>
  <si>
    <t>单次；宏观；强烈</t>
  </si>
  <si>
    <t>联动</t>
  </si>
  <si>
    <t>PI-MACRO-08</t>
  </si>
  <si>
    <t>全球风险偏好回归</t>
  </si>
  <si>
    <t>黄金现货下跌 1 格，同时铜现货上涨 1 格。</t>
  </si>
  <si>
    <t>PI-MACRO-09</t>
  </si>
  <si>
    <t>新兴市场需求复苏</t>
  </si>
  <si>
    <t>原油或铜</t>
  </si>
  <si>
    <t>选择原油或铜，使其现货上涨 1 格。</t>
  </si>
  <si>
    <t>PI-MACRO-10</t>
  </si>
  <si>
    <t>新兴市场资本外流</t>
  </si>
  <si>
    <t>选择原油或铜，使其现货下跌 1 格。</t>
  </si>
  <si>
    <t>PI-MACRO-11</t>
  </si>
  <si>
    <t>绿色投资法案通过</t>
  </si>
  <si>
    <t>铜、原油</t>
  </si>
  <si>
    <t>铜现货上涨 1 格，同时原油现货下跌 1 格。</t>
  </si>
  <si>
    <t>PI-MACRO-12</t>
  </si>
  <si>
    <t>化石能源补贴恢复</t>
  </si>
  <si>
    <t>铜现货下跌 1 格，同时原油现货上涨 1 格。</t>
  </si>
  <si>
    <t>PI-DURATION-01</t>
  </si>
  <si>
    <t>OPEC 配额执行期</t>
  </si>
  <si>
    <t>持续上涨</t>
  </si>
  <si>
    <t>持续 2 个月：本月与下个月结算时，各使原油现货上涨 1 格。</t>
  </si>
  <si>
    <t>本月、下个月；每月结算触发 1 次</t>
  </si>
  <si>
    <t>持续 2 个月；上涨；趋势</t>
  </si>
  <si>
    <t>PI-DURATION-02</t>
  </si>
  <si>
    <t>页岩油复产周期</t>
  </si>
  <si>
    <t>持续下跌</t>
  </si>
  <si>
    <t>持续 2 个月：本月与下个月结算时，各使原油现货下跌 1 格。</t>
  </si>
  <si>
    <t>持续 2 个月；下跌；趋势</t>
  </si>
  <si>
    <t>PI-DURATION-03</t>
  </si>
  <si>
    <t>央行连续购金</t>
  </si>
  <si>
    <t>持续 2 个月：本月与下个月结算时，各使黄金现货上涨 1 格。</t>
  </si>
  <si>
    <t>PI-DURATION-04</t>
  </si>
  <si>
    <t>实际利率上行周期</t>
  </si>
  <si>
    <t>持续 2 个月：本月与下个月结算时，各使黄金现货下跌 1 格。</t>
  </si>
  <si>
    <t>PI-DURATION-05</t>
  </si>
  <si>
    <t>干旱影响延续</t>
  </si>
  <si>
    <t>持续 2 个月：本月与下个月结算时，各使棉花现货上涨 1 格。</t>
  </si>
  <si>
    <t>PI-DURATION-06</t>
  </si>
  <si>
    <t>丰产兑现周期</t>
  </si>
  <si>
    <t>持续 2 个月：本月与下个月结算时，各使棉花现货下跌 1 格。</t>
  </si>
  <si>
    <t>PI-DURATION-07</t>
  </si>
  <si>
    <t>矿山检修周期</t>
  </si>
  <si>
    <t>持续 2 个月：本月与下个月结算时，各使铜现货上涨 1 格。</t>
  </si>
  <si>
    <t>PI-DURATION-08</t>
  </si>
  <si>
    <t>冶炼产能释放</t>
  </si>
  <si>
    <t>持续 2 个月：本月与下个月结算时，各使铜现货下跌 1 格。</t>
  </si>
  <si>
    <t>PF-01</t>
  </si>
  <si>
    <t>涨停封板</t>
  </si>
  <si>
    <t>封板</t>
  </si>
  <si>
    <t>期货涨停商品</t>
  </si>
  <si>
    <t>选择当前期货价已处于涨停价的一种商品，放置涨停封板标记。封板持续到本月结算结束；只限制主动开仓和加仓。</t>
  </si>
  <si>
    <t>按卡面结算</t>
  </si>
  <si>
    <t>封板；涨停；只减仓</t>
  </si>
  <si>
    <t>无直接价格方向</t>
  </si>
  <si>
    <t>PF-02</t>
  </si>
  <si>
    <t>跌停封板</t>
  </si>
  <si>
    <t>期货跌停商品</t>
  </si>
  <si>
    <t>选择当前期货价已处于跌停价的一种商品，放置跌停封板标记。封板持续到本月结算结束；只限制主动开仓和加仓。</t>
  </si>
  <si>
    <t>封板；跌停；只减仓</t>
  </si>
  <si>
    <t>PF-03</t>
  </si>
  <si>
    <t>预见</t>
  </si>
  <si>
    <t>牌堆侦察</t>
  </si>
  <si>
    <t>公共事件牌堆</t>
  </si>
  <si>
    <t>查看下个月将翻开的公共事件牌堆顶部 2 张，按原顺序放回。第 8 回合（第 8 个月）不能使用。</t>
  </si>
  <si>
    <t>预见；下个月</t>
  </si>
  <si>
    <t>PF-04</t>
  </si>
  <si>
    <t>优惠授信</t>
  </si>
  <si>
    <t>借贷</t>
  </si>
  <si>
    <t>自己</t>
  </si>
  <si>
    <t>把自己本月新增的一笔贷款改按每月 5% 单利计息；没有本月新增贷款时不能使用。</t>
  </si>
  <si>
    <t>借贷；每月利息</t>
  </si>
  <si>
    <t>PF-05</t>
  </si>
  <si>
    <t>保证金缓冲</t>
  </si>
  <si>
    <t>保证金</t>
  </si>
  <si>
    <t>放在自己面前，使紧接着的本月结算阶段中一次保证金补缴减少 10 万金币，最低减至 0，之后弃置。</t>
  </si>
  <si>
    <t>保证金；本月</t>
  </si>
  <si>
    <t>PF-06</t>
  </si>
  <si>
    <t>信息核验</t>
  </si>
  <si>
    <t>持续牌管理</t>
  </si>
  <si>
    <t>场上持续个人牌</t>
  </si>
  <si>
    <t>移除场上一张持续个人信息牌；不逆转以前月份已经发生的价格移动。</t>
  </si>
  <si>
    <t>移除；持续牌</t>
  </si>
  <si>
    <t>PF-07</t>
  </si>
  <si>
    <t>信息置换</t>
  </si>
  <si>
    <t>手牌管理</t>
  </si>
  <si>
    <t>抽 2 张个人牌，然后从手中选择 2 张牌弃置。</t>
  </si>
  <si>
    <t>抽牌；弃牌</t>
  </si>
  <si>
    <t>160 张个人牌 - 印刷清单</t>
  </si>
  <si>
    <t>每行对应一张实体卡，实体卡编号 P001—P160；时间文案已统一为月份。</t>
  </si>
  <si>
    <t>实体卡编号</t>
  </si>
  <si>
    <t>复本序号</t>
  </si>
  <si>
    <t>目标</t>
  </si>
  <si>
    <t>月度/持续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</si>
  <si>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</si>
  <si>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</si>
  <si>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</si>
  <si>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</si>
  <si>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</si>
  <si>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</si>
  <si>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</si>
  <si>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</si>
  <si>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</si>
  <si>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</si>
  <si>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</si>
  <si>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</si>
  <si>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</si>
  <si>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</si>
  <si>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</si>
  <si>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</si>
  <si>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</si>
  <si>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</si>
  <si>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</si>
  <si>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</si>
  <si>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</si>
  <si>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</si>
  <si>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</si>
  <si>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</si>
  <si>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</si>
  <si>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</si>
  <si>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</si>
  <si>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</si>
  <si>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</si>
  <si>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</si>
  <si>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P031</t>
  </si>
  <si>
    <t>P032</t>
  </si>
  <si>
    <t>P033</t>
  </si>
  <si>
    <t>P034</t>
  </si>
  <si>
    <t>P035</t>
  </si>
  <si>
    <t>P036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</si>
  <si>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</si>
  <si>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</si>
  <si>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</si>
  <si>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</si>
  <si>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</si>
  <si>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</si>
  <si>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</si>
  <si>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</si>
  <si>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</si>
  <si>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</si>
  <si>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</si>
  <si>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</si>
  <si>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</si>
  <si>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</si>
  <si>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</si>
  <si>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</si>
  <si>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</si>
  <si>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</si>
  <si>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</si>
  <si>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</si>
  <si>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</si>
  <si>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</si>
  <si>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</si>
  <si>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</si>
  <si>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</si>
  <si>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</si>
  <si>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</si>
  <si>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</si>
  <si>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</si>
  <si>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</si>
  <si>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</si>
  <si>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</si>
  <si>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</si>
  <si>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</si>
  <si>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</si>
  <si>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</si>
  <si>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</si>
  <si>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</si>
  <si>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</si>
  <si>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</si>
  <si>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</si>
  <si>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</si>
  <si>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</si>
  <si>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</si>
  <si>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</si>
  <si>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</si>
  <si>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</si>
  <si>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</si>
  <si>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</si>
  <si>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</si>
  <si>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</si>
  <si>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</si>
  <si>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</si>
  <si>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</si>
  <si>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</si>
  <si>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</si>
  <si>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</si>
  <si>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</si>
  <si>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</si>
  <si>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</si>
  <si>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</si>
  <si>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</si>
  <si>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</si>
  <si>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</si>
  <si>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P101</t>
  </si>
  <si>
    <t>P102</t>
  </si>
  <si>
    <t>P103</t>
  </si>
  <si>
    <t>P104</t>
  </si>
  <si>
    <t>P105</t>
  </si>
  <si>
    <t>P106</t>
  </si>
  <si>
    <t>P107</t>
  </si>
  <si>
    <t>P108</t>
  </si>
  <si>
    <t>P109</t>
  </si>
  <si>
    <t>P110</t>
  </si>
  <si>
    <t>P111</t>
  </si>
  <si>
    <t>P112</t>
  </si>
  <si>
    <t>P113</t>
  </si>
  <si>
    <t>P114</t>
  </si>
  <si>
    <t>P115</t>
  </si>
  <si>
    <t>P116</t>
  </si>
  <si>
    <t>P117</t>
  </si>
  <si>
    <t>P118</t>
  </si>
  <si>
    <t>P119</t>
  </si>
  <si>
    <t>P120</t>
  </si>
  <si>
    <t>P121</t>
  </si>
  <si>
    <t>P122</t>
  </si>
  <si>
    <t>P123</t>
  </si>
  <si>
    <t>P124</t>
  </si>
  <si>
    <t>P125</t>
  </si>
  <si>
    <t>P126</t>
  </si>
  <si>
    <t>P127</t>
  </si>
  <si>
    <t>P128</t>
  </si>
  <si>
    <t>P129</t>
  </si>
  <si>
    <t>P130</t>
  </si>
  <si>
    <t>P131</t>
  </si>
  <si>
    <t>P132</t>
  </si>
  <si>
    <t>P133</t>
  </si>
  <si>
    <t>P134</t>
  </si>
  <si>
    <t>P135</t>
  </si>
  <si>
    <t>P136</t>
  </si>
  <si>
    <t>P137</t>
  </si>
  <si>
    <t>P138</t>
  </si>
  <si>
    <t>P139</t>
  </si>
  <si>
    <t>P140</t>
  </si>
  <si>
    <t>P141</t>
  </si>
  <si>
    <t>P142</t>
  </si>
  <si>
    <t>P143</t>
  </si>
  <si>
    <t>P144</t>
  </si>
  <si>
    <t>P145</t>
  </si>
  <si>
    <t>P146</t>
  </si>
  <si>
    <t>P147</t>
  </si>
  <si>
    <t>P148</t>
  </si>
  <si>
    <t>P149</t>
  </si>
  <si>
    <t>P150</t>
  </si>
  <si>
    <t>P151</t>
  </si>
  <si>
    <t>P152</t>
  </si>
  <si>
    <t>P153</t>
  </si>
  <si>
    <t>P154</t>
  </si>
  <si>
    <t>P155</t>
  </si>
  <si>
    <t>P156</t>
  </si>
  <si>
    <t>P157</t>
  </si>
  <si>
    <t>P158</t>
  </si>
  <si>
    <t>P159</t>
  </si>
  <si>
    <t>P160</t>
  </si>
  <si>
    <t>20 张公共事件牌</t>
  </si>
  <si>
    <t>12 张一次性事件 + 4 张持续事件 + 4 张修正事件｜严重冲击可移动 2—3 格；持续事件按月触发。</t>
  </si>
  <si>
    <t>编号</t>
  </si>
  <si>
    <t>事件名称</t>
  </si>
  <si>
    <t>大类</t>
  </si>
  <si>
    <t>原油总影响</t>
  </si>
  <si>
    <t>黄金总影响</t>
  </si>
  <si>
    <t>棉花总影响</t>
  </si>
  <si>
    <t>铜总影响</t>
  </si>
  <si>
    <t>PE-01</t>
  </si>
  <si>
    <t>全球通胀共振</t>
  </si>
  <si>
    <t>一次性事件</t>
  </si>
  <si>
    <t>全商品一次性上涨</t>
  </si>
  <si>
    <t>四种商品</t>
  </si>
  <si>
    <t>原油、黄金、棉花、铜现货各上涨 1 格，然后弃置。</t>
  </si>
  <si>
    <t>本月翻开时立即结算；不跨月</t>
  </si>
  <si>
    <t>单次；强烈</t>
  </si>
  <si>
    <t>PE-02</t>
  </si>
  <si>
    <t>全球流动性冻结</t>
  </si>
  <si>
    <t>全商品一次性下跌</t>
  </si>
  <si>
    <t>原油、黄金、棉花、铜现货各下跌 1 格，然后弃置。</t>
  </si>
  <si>
    <t>PE-03</t>
  </si>
  <si>
    <t>海峡封锁升级</t>
  </si>
  <si>
    <t>单商品一次性上涨</t>
  </si>
  <si>
    <t>原油现货上涨 3 格，然后弃置。</t>
  </si>
  <si>
    <t>单次；危机</t>
  </si>
  <si>
    <t>PE-04</t>
  </si>
  <si>
    <t>国际能源署紧急释放储备</t>
  </si>
  <si>
    <t>单商品一次性下跌</t>
  </si>
  <si>
    <t>原油现货下跌 3 格，然后弃置。</t>
  </si>
  <si>
    <t>PE-05</t>
  </si>
  <si>
    <t>全球央行联合购金</t>
  </si>
  <si>
    <t>黄金现货上涨 3 格，然后弃置。</t>
  </si>
  <si>
    <t>PE-06</t>
  </si>
  <si>
    <t>美联储极端鹰派冲击</t>
  </si>
  <si>
    <t>黄金现货下跌 3 格，然后弃置。</t>
  </si>
  <si>
    <t>PE-07</t>
  </si>
  <si>
    <t>主产区百年干旱</t>
  </si>
  <si>
    <t>棉花现货上涨 2 格，然后弃置。</t>
  </si>
  <si>
    <t>PE-08</t>
  </si>
  <si>
    <t>全球棉花超级丰收</t>
  </si>
  <si>
    <t>棉花现货下跌 2 格，然后弃置。</t>
  </si>
  <si>
    <t>PE-09</t>
  </si>
  <si>
    <t>全球电网投资浪潮</t>
  </si>
  <si>
    <t>铜现货上涨 2 格，然后弃置。</t>
  </si>
  <si>
    <t>PE-10</t>
  </si>
  <si>
    <t>全球地产去杠杆冲击</t>
  </si>
  <si>
    <t>铜现货下跌 2 格，然后弃置。</t>
  </si>
  <si>
    <t>PE-11</t>
  </si>
  <si>
    <t>全球供应链中断</t>
  </si>
  <si>
    <t>多商品一次性上涨</t>
  </si>
  <si>
    <t>棉花、铜</t>
  </si>
  <si>
    <t>棉花与铜现货各上涨 1 格，然后弃置。</t>
  </si>
  <si>
    <t>PE-12</t>
  </si>
  <si>
    <t>全球供应链全面修复</t>
  </si>
  <si>
    <t>多商品一次性下跌</t>
  </si>
  <si>
    <t>棉花与铜现货各下跌 1 格，然后弃置。</t>
  </si>
  <si>
    <t>PE-13</t>
  </si>
  <si>
    <t>全球流动性宽松周期</t>
  </si>
  <si>
    <t>持续事件</t>
  </si>
  <si>
    <t>持续 3 个月：本月及之后两个月结算时，黄金与铜现货各上涨 1 格。</t>
  </si>
  <si>
    <t>本月、下两个月；每月结算触发 1 次</t>
  </si>
  <si>
    <t>持续 3 个月；持续上涨</t>
  </si>
  <si>
    <t>PE-14</t>
  </si>
  <si>
    <t>全球流动性紧缩周期</t>
  </si>
  <si>
    <t>持续 3 个月：本月及之后两个月结算时，黄金与铜现货各下跌 1 格。</t>
  </si>
  <si>
    <t>持续 3 个月；持续下跌</t>
  </si>
  <si>
    <t>PE-15</t>
  </si>
  <si>
    <t>全球补库存周期</t>
  </si>
  <si>
    <t>原油、棉花</t>
  </si>
  <si>
    <t>持续 3 个月：本月及之后两个月结算时，原油与棉花现货各上涨 1 格。</t>
  </si>
  <si>
    <t>PE-16</t>
  </si>
  <si>
    <t>全球去库存周期</t>
  </si>
  <si>
    <t>持续 3 个月：本月及之后两个月结算时，原油与棉花现货各下跌 1 格。</t>
  </si>
  <si>
    <t>PE-17</t>
  </si>
  <si>
    <t>全球供给政策转向</t>
  </si>
  <si>
    <t>修正事件</t>
  </si>
  <si>
    <t>移除持续上涨</t>
  </si>
  <si>
    <t>持续上涨公共事件</t>
  </si>
  <si>
    <t>移除场上剩余月份最多的一张“持续上涨”公共事件；并列时移除最早翻开的。无合法目标时无效果。</t>
  </si>
  <si>
    <t>本月翻开时立即结算</t>
  </si>
  <si>
    <t>移除；修正</t>
  </si>
  <si>
    <t>PE-18</t>
  </si>
  <si>
    <t>逆周期需求托底</t>
  </si>
  <si>
    <t>移除持续下跌</t>
  </si>
  <si>
    <t>持续下跌公共事件</t>
  </si>
  <si>
    <t>移除场上剩余月份最多的一张“持续下跌”公共事件；并列时移除最早翻开的。无合法目标时无效果。</t>
  </si>
  <si>
    <t>PE-19</t>
  </si>
  <si>
    <t>宏观数据全面修订</t>
  </si>
  <si>
    <t>移除单张持续事件</t>
  </si>
  <si>
    <t>最后翻开的持续公共事件</t>
  </si>
  <si>
    <t>移除场上最后翻开的一张持续公共事件。无合法目标时无效果。</t>
  </si>
  <si>
    <t>PE-20</t>
  </si>
  <si>
    <t>多国政策协调声明</t>
  </si>
  <si>
    <t>全部持续公共事件</t>
  </si>
  <si>
    <t>移除场上全部持续公共事件；不逆转以前月份已经发生的价格移动。</t>
  </si>
  <si>
    <t>移除；强修正</t>
  </si>
  <si>
    <t>数量、强度与方向平衡校验</t>
  </si>
  <si>
    <t>所有关键指标使用工作表公式计算；等效格数 = 每月影响 × 作用月数 × 印刷张数。</t>
  </si>
  <si>
    <t>数量检查</t>
  </si>
  <si>
    <t>实际值</t>
  </si>
  <si>
    <t>目标值</t>
  </si>
  <si>
    <t>状态</t>
  </si>
  <si>
    <t>个人牌印刷清单行数</t>
  </si>
  <si>
    <t>每回合对应月份</t>
  </si>
  <si>
    <t>完整游戏月份</t>
  </si>
  <si>
    <t>单商品个人牌</t>
  </si>
  <si>
    <t>上涨张数</t>
  </si>
  <si>
    <t>下跌张数</t>
  </si>
  <si>
    <t>上涨等效格数</t>
  </si>
  <si>
    <t>下跌等效格数</t>
  </si>
  <si>
    <t>按完整持续期计算</t>
  </si>
  <si>
    <t>个人趋势上涨</t>
  </si>
  <si>
    <t>个人趋势下跌</t>
  </si>
  <si>
    <t>公共趋势上涨</t>
  </si>
  <si>
    <t>公共趋势下跌</t>
  </si>
  <si>
    <t>公共一次性事件</t>
  </si>
  <si>
    <t>累计上涨格数</t>
  </si>
  <si>
    <t>累计下跌格数</t>
  </si>
  <si>
    <t>净偏置</t>
  </si>
  <si>
    <t>解释：普通个人牌每张 ±1 格；强烈牌为 ±2 格或双商品各 ±1 格；危机牌为 ±3 格。个人趋势持续 2 个月，公共趋势持续 3 个月。现货无单月涨跌上限，因此同月翻开的多张事件和玩家打出的多张牌均累加。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</si>
</sst>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8"/>
      <color rgb="FFFFFFFF"/>
      <name val="Carlito"/>
      <charset val="134"/>
    </font>
    <font>
      <sz val="9"/>
      <color rgb="FF647D91"/>
      <name val="Carlito"/>
      <charset val="134"/>
    </font>
    <font>
      <b/>
      <sz val="9"/>
      <color rgb="FFFFFFFF"/>
      <name val="Carlito"/>
      <charset val="134"/>
    </font>
    <font>
      <sz val="9"/>
      <color rgb="FF243746"/>
      <name val="Carlito"/>
      <charset val="134"/>
    </font>
    <font>
      <b/>
      <sz val="9"/>
      <color rgb="FF3E6B2E"/>
      <name val="Carlito"/>
      <charset val="134"/>
    </font>
    <font>
      <sz val="10"/>
      <color rgb="FF075968"/>
      <name val="Carlito"/>
      <charset val="134"/>
    </font>
    <font>
      <b/>
      <sz val="9"/>
      <color rgb="FF243746"/>
      <name val="Carlito"/>
      <charset val="134"/>
    </font>
    <font>
      <b/>
      <sz val="10"/>
      <color rgb="FF243746"/>
      <name val="Carlito"/>
      <charset val="134"/>
    </font>
    <font>
      <i/>
      <sz val="9"/>
      <color rgb="FF647D91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12D46"/>
        <bgColor indexed="64"/>
      </patternFill>
    </fill>
    <fill>
      <patternFill patternType="solid">
        <fgColor rgb="FFEAF3F6"/>
        <bgColor indexed="64"/>
      </patternFill>
    </fill>
    <fill>
      <patternFill patternType="solid">
        <fgColor rgb="FF075968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E4"/>
        <bgColor indexed="64"/>
      </patternFill>
    </fill>
    <fill>
      <patternFill patternType="solid">
        <fgColor rgb="FFE2F1E8"/>
        <bgColor indexed="64"/>
      </patternFill>
    </fill>
    <fill>
      <patternFill patternType="solid">
        <fgColor rgb="FFEDE5F6"/>
        <bgColor indexed="64"/>
      </patternFill>
    </fill>
    <fill>
      <patternFill patternType="solid">
        <fgColor rgb="FFD8C8E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rgb="FFC9D9E2"/>
      </bottom>
      <diagonal/>
    </border>
    <border>
      <left style="thin">
        <color rgb="FF075968"/>
      </left>
      <right style="thin">
        <color rgb="FF075968"/>
      </right>
      <top style="thin">
        <color rgb="FF075968"/>
      </top>
      <bottom style="thin">
        <color rgb="FF075968"/>
      </bottom>
      <diagonal/>
    </border>
    <border>
      <left style="thin">
        <color rgb="FFC9D9E2"/>
      </left>
      <right style="thin">
        <color rgb="FFC9D9E2"/>
      </right>
      <top style="thin">
        <color rgb="FFC9D9E2"/>
      </top>
      <bottom style="thin">
        <color rgb="FFC9D9E2"/>
      </bottom>
      <diagonal/>
    </border>
    <border>
      <left style="thin">
        <color rgb="FFC9D9E2"/>
      </left>
      <right/>
      <top style="thin">
        <color rgb="FFC9D9E2"/>
      </top>
      <bottom/>
      <diagonal/>
    </border>
    <border>
      <left/>
      <right/>
      <top style="thin">
        <color rgb="FFC9D9E2"/>
      </top>
      <bottom/>
      <diagonal/>
    </border>
    <border>
      <left/>
      <right style="thin">
        <color rgb="FFC9D9E2"/>
      </right>
      <top style="thin">
        <color rgb="FFC9D9E2"/>
      </top>
      <bottom/>
      <diagonal/>
    </border>
    <border>
      <left style="thin">
        <color rgb="FFC9D9E2"/>
      </left>
      <right/>
      <top/>
      <bottom/>
      <diagonal/>
    </border>
    <border>
      <left/>
      <right style="thin">
        <color rgb="FFC9D9E2"/>
      </right>
      <top/>
      <bottom/>
      <diagonal/>
    </border>
    <border>
      <left style="thin">
        <color rgb="FFC9D9E2"/>
      </left>
      <right/>
      <top/>
      <bottom style="thin">
        <color rgb="FFC9D9E2"/>
      </bottom>
      <diagonal/>
    </border>
    <border>
      <left/>
      <right style="thin">
        <color rgb="FFC9D9E2"/>
      </right>
      <top/>
      <bottom style="thin">
        <color rgb="FFC9D9E2"/>
      </bottom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1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11" borderId="1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8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2" borderId="20" applyNumberFormat="0" applyAlignment="0" applyProtection="0">
      <alignment vertical="center"/>
    </xf>
    <xf numFmtId="0" fontId="20" fillId="13" borderId="21" applyNumberFormat="0" applyAlignment="0" applyProtection="0">
      <alignment vertical="center"/>
    </xf>
    <xf numFmtId="0" fontId="21" fillId="13" borderId="20" applyNumberFormat="0" applyAlignment="0" applyProtection="0">
      <alignment vertical="center"/>
    </xf>
    <xf numFmtId="0" fontId="22" fillId="14" borderId="22" applyNumberFormat="0" applyAlignment="0" applyProtection="0">
      <alignment vertical="center"/>
    </xf>
    <xf numFmtId="0" fontId="23" fillId="0" borderId="23" applyNumberFormat="0" applyFill="0" applyAlignment="0" applyProtection="0">
      <alignment vertical="center"/>
    </xf>
    <xf numFmtId="0" fontId="24" fillId="0" borderId="24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0" fillId="0" borderId="0"/>
  </cellStyleXfs>
  <cellXfs count="30">
    <xf numFmtId="0" fontId="0" fillId="0" borderId="0" xfId="49"/>
    <xf numFmtId="0" fontId="1" fillId="2" borderId="0" xfId="49" applyNumberFormat="1" applyFont="1" applyFill="1" applyBorder="1" applyAlignment="1">
      <alignment vertical="center"/>
    </xf>
    <xf numFmtId="0" fontId="2" fillId="3" borderId="1" xfId="49" applyNumberFormat="1" applyFont="1" applyFill="1" applyBorder="1" applyAlignment="1">
      <alignment vertical="center" wrapText="1"/>
    </xf>
    <xf numFmtId="0" fontId="3" fillId="4" borderId="2" xfId="49" applyNumberFormat="1" applyFont="1" applyFill="1" applyBorder="1" applyAlignment="1">
      <alignment vertical="center" wrapText="1"/>
    </xf>
    <xf numFmtId="0" fontId="4" fillId="0" borderId="3" xfId="49" applyNumberFormat="1" applyFont="1" applyFill="1" applyBorder="1" applyAlignment="1">
      <alignment vertical="center" wrapText="1"/>
    </xf>
    <xf numFmtId="0" fontId="5" fillId="5" borderId="3" xfId="49" applyNumberFormat="1" applyFont="1" applyFill="1" applyBorder="1" applyAlignment="1">
      <alignment vertical="center" wrapText="1"/>
    </xf>
    <xf numFmtId="0" fontId="6" fillId="3" borderId="4" xfId="49" applyNumberFormat="1" applyFont="1" applyFill="1" applyBorder="1" applyAlignment="1">
      <alignment vertical="center" wrapText="1"/>
    </xf>
    <xf numFmtId="0" fontId="6" fillId="3" borderId="5" xfId="49" applyNumberFormat="1" applyFont="1" applyFill="1" applyBorder="1" applyAlignment="1">
      <alignment vertical="center" wrapText="1"/>
    </xf>
    <xf numFmtId="0" fontId="6" fillId="3" borderId="6" xfId="49" applyNumberFormat="1" applyFont="1" applyFill="1" applyBorder="1" applyAlignment="1">
      <alignment vertical="center" wrapText="1"/>
    </xf>
    <xf numFmtId="0" fontId="6" fillId="3" borderId="7" xfId="49" applyNumberFormat="1" applyFont="1" applyFill="1" applyBorder="1" applyAlignment="1">
      <alignment vertical="center" wrapText="1"/>
    </xf>
    <xf numFmtId="0" fontId="6" fillId="3" borderId="0" xfId="49" applyNumberFormat="1" applyFont="1" applyFill="1" applyBorder="1" applyAlignment="1">
      <alignment vertical="center" wrapText="1"/>
    </xf>
    <xf numFmtId="0" fontId="6" fillId="3" borderId="8" xfId="49" applyNumberFormat="1" applyFont="1" applyFill="1" applyBorder="1" applyAlignment="1">
      <alignment vertical="center" wrapText="1"/>
    </xf>
    <xf numFmtId="0" fontId="6" fillId="3" borderId="9" xfId="49" applyNumberFormat="1" applyFont="1" applyFill="1" applyBorder="1" applyAlignment="1">
      <alignment vertical="center" wrapText="1"/>
    </xf>
    <xf numFmtId="0" fontId="6" fillId="3" borderId="1" xfId="49" applyNumberFormat="1" applyFont="1" applyFill="1" applyBorder="1" applyAlignment="1">
      <alignment vertical="center" wrapText="1"/>
    </xf>
    <xf numFmtId="0" fontId="6" fillId="3" borderId="10" xfId="49" applyNumberFormat="1" applyFont="1" applyFill="1" applyBorder="1" applyAlignment="1">
      <alignment vertical="center" wrapText="1"/>
    </xf>
    <xf numFmtId="0" fontId="7" fillId="6" borderId="3" xfId="49" applyNumberFormat="1" applyFont="1" applyFill="1" applyBorder="1" applyAlignment="1">
      <alignment vertical="center" wrapText="1"/>
    </xf>
    <xf numFmtId="1" fontId="4" fillId="0" borderId="3" xfId="49" applyNumberFormat="1" applyFont="1" applyFill="1" applyBorder="1" applyAlignment="1">
      <alignment vertical="center" wrapText="1"/>
    </xf>
    <xf numFmtId="0" fontId="7" fillId="7" borderId="3" xfId="49" applyNumberFormat="1" applyFont="1" applyFill="1" applyBorder="1" applyAlignment="1">
      <alignment vertical="center" wrapText="1"/>
    </xf>
    <xf numFmtId="0" fontId="7" fillId="8" borderId="3" xfId="49" applyNumberFormat="1" applyFont="1" applyFill="1" applyBorder="1" applyAlignment="1">
      <alignment vertical="center" wrapText="1"/>
    </xf>
    <xf numFmtId="0" fontId="7" fillId="9" borderId="3" xfId="49" applyNumberFormat="1" applyFont="1" applyFill="1" applyBorder="1" applyAlignment="1">
      <alignment vertical="center" wrapText="1"/>
    </xf>
    <xf numFmtId="0" fontId="7" fillId="10" borderId="3" xfId="49" applyNumberFormat="1" applyFont="1" applyFill="1" applyBorder="1" applyAlignment="1">
      <alignment vertical="center" wrapText="1"/>
    </xf>
    <xf numFmtId="0" fontId="7" fillId="3" borderId="3" xfId="49" applyNumberFormat="1" applyFont="1" applyFill="1" applyBorder="1" applyAlignment="1">
      <alignment vertical="center" wrapText="1"/>
    </xf>
    <xf numFmtId="9" fontId="4" fillId="0" borderId="3" xfId="49" applyNumberFormat="1" applyFont="1" applyFill="1" applyBorder="1" applyAlignment="1">
      <alignment vertical="center" wrapText="1"/>
    </xf>
    <xf numFmtId="0" fontId="8" fillId="6" borderId="11" xfId="49" applyNumberFormat="1" applyFont="1" applyFill="1" applyBorder="1" applyAlignment="1">
      <alignment vertical="center" wrapText="1"/>
    </xf>
    <xf numFmtId="0" fontId="8" fillId="6" borderId="12" xfId="49" applyNumberFormat="1" applyFont="1" applyFill="1" applyBorder="1" applyAlignment="1">
      <alignment vertical="center" wrapText="1"/>
    </xf>
    <xf numFmtId="0" fontId="8" fillId="6" borderId="13" xfId="49" applyNumberFormat="1" applyFont="1" applyFill="1" applyBorder="1" applyAlignment="1">
      <alignment vertical="center" wrapText="1"/>
    </xf>
    <xf numFmtId="0" fontId="8" fillId="6" borderId="14" xfId="49" applyNumberFormat="1" applyFont="1" applyFill="1" applyBorder="1" applyAlignment="1">
      <alignment vertical="center" wrapText="1"/>
    </xf>
    <xf numFmtId="0" fontId="8" fillId="6" borderId="15" xfId="49" applyNumberFormat="1" applyFont="1" applyFill="1" applyBorder="1" applyAlignment="1">
      <alignment vertical="center" wrapText="1"/>
    </xf>
    <xf numFmtId="0" fontId="8" fillId="6" borderId="16" xfId="49" applyNumberFormat="1" applyFont="1" applyFill="1" applyBorder="1" applyAlignment="1">
      <alignment vertical="center" wrapText="1"/>
    </xf>
    <xf numFmtId="0" fontId="9" fillId="0" borderId="0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ersonalDesignTable" displayName="PersonalDesignTable" ref="A4:X71" totalsRowShown="0">
  <autoFilter xmlns:etc="http://www.wps.cn/officeDocument/2017/etCustomData" ref="A4:X71" etc:filterBottomFollowUsedRange="0"/>
  <tableColumns count="24">
    <tableColumn id="1" name="设计编号"/>
    <tableColumn id="2" name="卡名"/>
    <tableColumn id="3" name="类别"/>
    <tableColumn id="4" name="强度"/>
    <tableColumn id="5" name="子类型"/>
    <tableColumn id="6" name="目标商品"/>
    <tableColumn id="7" name="使用时点"/>
    <tableColumn id="8" name="卡面效果"/>
    <tableColumn id="9" name="持续/月度时点"/>
    <tableColumn id="10" name="关键词"/>
    <tableColumn id="11" name="印刷张数"/>
    <tableColumn id="12" name="方向"/>
    <tableColumn id="13" name="每月总影响格数"/>
    <tableColumn id="14" name="作用月数"/>
    <tableColumn id="15" name="单牌等效总格数"/>
    <tableColumn id="16" name="牌堆等效总格数"/>
    <tableColumn id="17" name="原油每月"/>
    <tableColumn id="18" name="黄金每月"/>
    <tableColumn id="19" name="棉花每月"/>
    <tableColumn id="20" name="铜每月"/>
    <tableColumn id="21" name="原油牌堆等效"/>
    <tableColumn id="22" name="黄金牌堆等效"/>
    <tableColumn id="23" name="棉花牌堆等效"/>
    <tableColumn id="24" name="铜牌堆等效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PersonalPrintTable" displayName="PersonalPrintTable" ref="A4:J164" totalsRowShown="0">
  <autoFilter xmlns:etc="http://www.wps.cn/officeDocument/2017/etCustomData" ref="A4:J164" etc:filterBottomFollowUsedRange="0"/>
  <tableColumns count="10">
    <tableColumn id="1" name="实体卡编号"/>
    <tableColumn id="2" name="设计编号"/>
    <tableColumn id="3" name="复本序号"/>
    <tableColumn id="4" name="卡名"/>
    <tableColumn id="5" name="类别"/>
    <tableColumn id="6" name="强度"/>
    <tableColumn id="7" name="目标"/>
    <tableColumn id="8" name="卡面效果"/>
    <tableColumn id="9" name="月度/持续"/>
    <tableColumn id="10" name="关键词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PublicEventTable" displayName="PublicEventTable" ref="A4:T24" totalsRowShown="0">
  <autoFilter xmlns:etc="http://www.wps.cn/officeDocument/2017/etCustomData" ref="A4:T24" etc:filterBottomFollowUsedRange="0"/>
  <tableColumns count="20">
    <tableColumn id="1" name="编号"/>
    <tableColumn id="2" name="事件名称"/>
    <tableColumn id="3" name="大类"/>
    <tableColumn id="4" name="强度"/>
    <tableColumn id="5" name="子类型"/>
    <tableColumn id="6" name="目标商品"/>
    <tableColumn id="7" name="卡面效果"/>
    <tableColumn id="8" name="持续/月度时点"/>
    <tableColumn id="9" name="关键词"/>
    <tableColumn id="10" name="原油每月"/>
    <tableColumn id="11" name="黄金每月"/>
    <tableColumn id="12" name="棉花每月"/>
    <tableColumn id="13" name="铜每月"/>
    <tableColumn id="14" name="每月总影响格数"/>
    <tableColumn id="15" name="作用月数"/>
    <tableColumn id="16" name="单牌等效总格数"/>
    <tableColumn id="17" name="原油总影响"/>
    <tableColumn id="18" name="黄金总影响"/>
    <tableColumn id="19" name="棉花总影响"/>
    <tableColumn id="20" name="铜总影响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showGridLines="0" workbookViewId="0">
      <selection activeCell="D11" sqref="D11:D17"/>
    </sheetView>
  </sheetViews>
  <sheetFormatPr defaultColWidth="9" defaultRowHeight="14.25" outlineLevelCol="7"/>
  <cols>
    <col min="1" max="1" width="22.5" customWidth="1"/>
    <col min="2" max="2" width="15" customWidth="1"/>
    <col min="3" max="3" width="11.25" customWidth="1"/>
    <col min="4" max="4" width="23.75" customWidth="1"/>
    <col min="5" max="6" width="15.6333333333333" customWidth="1"/>
    <col min="7" max="7" width="33.75" customWidth="1"/>
    <col min="8" max="8" width="6.25" customWidth="1"/>
  </cols>
  <sheetData>
    <row r="1" ht="31.5" customHeight="1" spans="1:8">
      <c r="A1" s="1" t="s">
        <v>0</v>
      </c>
      <c r="B1" s="1"/>
      <c r="C1" s="1"/>
      <c r="D1" s="1"/>
      <c r="E1" s="1"/>
      <c r="F1" s="1"/>
      <c r="G1" s="1"/>
      <c r="H1" s="1"/>
    </row>
    <row r="2" ht="27" customHeight="1" spans="1:8">
      <c r="A2" s="2" t="s">
        <v>1</v>
      </c>
      <c r="B2" s="2"/>
      <c r="C2" s="2"/>
      <c r="D2" s="2"/>
      <c r="E2" s="2"/>
      <c r="F2" s="2"/>
      <c r="G2" s="2"/>
      <c r="H2" s="2"/>
    </row>
    <row r="4" ht="27" customHeight="1" spans="1:8">
      <c r="A4" s="3" t="s">
        <v>2</v>
      </c>
      <c r="B4" s="3" t="s">
        <v>3</v>
      </c>
      <c r="D4" s="3" t="s">
        <v>4</v>
      </c>
      <c r="E4" s="3" t="s">
        <v>5</v>
      </c>
      <c r="F4" s="3" t="s">
        <v>6</v>
      </c>
      <c r="G4" s="3" t="s">
        <v>7</v>
      </c>
    </row>
    <row r="5" spans="1:8">
      <c r="A5" s="4" t="s">
        <v>8</v>
      </c>
      <c r="B5" s="4" t="str">
        <f>1&amp;" 个月"</f>
        <v>1 个月</v>
      </c>
      <c r="D5" s="4" t="s">
        <v>9</v>
      </c>
      <c r="E5" s="4">
        <f>COUNTIF(个人牌设计!$C$5:$C$71,D5)</f>
        <v>40</v>
      </c>
      <c r="F5" s="4">
        <f>SUMIF(个人牌设计!$C$5:$C$71,D5,个人牌设计!$K$5:$K$71)</f>
        <v>96</v>
      </c>
      <c r="G5" s="22">
        <f>F5/160</f>
        <v>0.6</v>
      </c>
    </row>
    <row r="6" spans="1:8">
      <c r="A6" s="4" t="s">
        <v>10</v>
      </c>
      <c r="B6" s="4" t="str">
        <f>8*1&amp;" 个月"</f>
        <v>8 个月</v>
      </c>
      <c r="D6" s="4" t="s">
        <v>11</v>
      </c>
      <c r="E6" s="4">
        <f>COUNTIF(个人牌设计!$C$5:$C$71,D6)</f>
        <v>12</v>
      </c>
      <c r="F6" s="4">
        <f>SUMIF(个人牌设计!$C$5:$C$71,D6,个人牌设计!$K$5:$K$71)</f>
        <v>24</v>
      </c>
      <c r="G6" s="22">
        <f>F6/160</f>
        <v>0.15</v>
      </c>
    </row>
    <row r="7" spans="1:8">
      <c r="A7" s="4" t="s">
        <v>12</v>
      </c>
      <c r="B7" s="4">
        <f>COUNTA(个人牌设计!$A$5:$A$71)</f>
        <v>67</v>
      </c>
      <c r="D7" s="4" t="s">
        <v>13</v>
      </c>
      <c r="E7" s="4">
        <f>COUNTIF(个人牌设计!$C$5:$C$71,D7)</f>
        <v>8</v>
      </c>
      <c r="F7" s="4">
        <f>SUMIF(个人牌设计!$C$5:$C$71,D7,个人牌设计!$K$5:$K$71)</f>
        <v>16</v>
      </c>
      <c r="G7" s="22">
        <f>F7/160</f>
        <v>0.1</v>
      </c>
    </row>
    <row r="8" spans="1:8">
      <c r="A8" s="4" t="s">
        <v>14</v>
      </c>
      <c r="B8" s="4">
        <f>SUM(个人牌设计!$K$5:$K$71)</f>
        <v>160</v>
      </c>
      <c r="D8" s="4" t="s">
        <v>15</v>
      </c>
      <c r="E8" s="4">
        <f>COUNTIF(个人牌设计!$C$5:$C$71,D8)</f>
        <v>7</v>
      </c>
      <c r="F8" s="4">
        <f>SUMIF(个人牌设计!$C$5:$C$71,D8,个人牌设计!$K$5:$K$71)</f>
        <v>24</v>
      </c>
      <c r="G8" s="22">
        <f>F8/160</f>
        <v>0.15</v>
      </c>
    </row>
    <row r="9" spans="1:8">
      <c r="A9" s="4" t="s">
        <v>16</v>
      </c>
      <c r="B9" s="4">
        <f>COUNTA(公共事件牌!$A$5:$A$24)</f>
        <v>20</v>
      </c>
      <c r="D9" s="4" t="s">
        <v>17</v>
      </c>
      <c r="E9" s="4">
        <f>SUM(E5:E8)</f>
        <v>67</v>
      </c>
      <c r="F9" s="4">
        <f>SUM(F5:F8)</f>
        <v>160</v>
      </c>
      <c r="G9" s="22">
        <f>SUM(G5:G8)</f>
        <v>1</v>
      </c>
    </row>
    <row r="11" ht="27" customHeight="1" spans="1:8">
      <c r="A11" s="3" t="s">
        <v>18</v>
      </c>
      <c r="B11" s="3" t="s">
        <v>19</v>
      </c>
      <c r="C11" s="3" t="s">
        <v>7</v>
      </c>
      <c r="E11" s="3" t="s">
        <v>20</v>
      </c>
      <c r="F11" s="3" t="s">
        <v>21</v>
      </c>
      <c r="G11" s="3" t="s">
        <v>22</v>
      </c>
    </row>
    <row r="12" spans="1:8">
      <c r="A12" s="4" t="s">
        <v>23</v>
      </c>
      <c r="B12" s="4">
        <f>SUMIF(个人牌设计!$D$5:$D$71,A12,个人牌设计!$K$5:$K$71)</f>
        <v>88</v>
      </c>
      <c r="C12" s="22">
        <f>B12/160</f>
        <v>0.55</v>
      </c>
      <c r="E12" s="4" t="s">
        <v>24</v>
      </c>
      <c r="F12" s="4">
        <f>COUNTIF(公共事件牌!$D$5:$D$24,E12)</f>
        <v>8</v>
      </c>
      <c r="G12" s="4" t="s">
        <v>25</v>
      </c>
    </row>
    <row r="13" spans="1:8">
      <c r="A13" s="4" t="s">
        <v>24</v>
      </c>
      <c r="B13" s="4">
        <f>SUMIF(个人牌设计!$D$5:$D$71,A13,个人牌设计!$K$5:$K$71)</f>
        <v>24</v>
      </c>
      <c r="C13" s="22">
        <f>B13/160</f>
        <v>0.15</v>
      </c>
      <c r="E13" s="4" t="s">
        <v>26</v>
      </c>
      <c r="F13" s="4">
        <f>COUNTIF(公共事件牌!$D$5:$D$24,E13)</f>
        <v>4</v>
      </c>
      <c r="G13" s="4" t="s">
        <v>27</v>
      </c>
    </row>
    <row r="14" spans="1:8">
      <c r="A14" s="4" t="s">
        <v>26</v>
      </c>
      <c r="B14" s="4">
        <f>SUMIF(个人牌设计!$D$5:$D$71,A14,个人牌设计!$K$5:$K$71)</f>
        <v>8</v>
      </c>
      <c r="C14" s="22">
        <f>B14/160</f>
        <v>0.05</v>
      </c>
      <c r="E14" s="4" t="s">
        <v>28</v>
      </c>
      <c r="F14" s="4">
        <f>COUNTIF(公共事件牌!$D$5:$D$24,E14)</f>
        <v>4</v>
      </c>
      <c r="G14" s="4" t="s">
        <v>29</v>
      </c>
    </row>
    <row r="15" spans="1:8">
      <c r="A15" s="4" t="s">
        <v>28</v>
      </c>
      <c r="B15" s="4">
        <f>SUMIF(个人牌设计!$D$5:$D$71,A15,个人牌设计!$K$5:$K$71)</f>
        <v>16</v>
      </c>
      <c r="C15" s="22">
        <f>B15/160</f>
        <v>0.1</v>
      </c>
      <c r="E15" s="4" t="s">
        <v>30</v>
      </c>
      <c r="F15" s="4">
        <f>COUNTIF(公共事件牌!$D$5:$D$24,E15)</f>
        <v>3</v>
      </c>
      <c r="G15" s="4" t="s">
        <v>31</v>
      </c>
    </row>
    <row r="16" spans="1:8">
      <c r="A16" s="4" t="s">
        <v>32</v>
      </c>
      <c r="B16" s="4">
        <f>SUMIF(个人牌设计!$D$5:$D$71,A16,个人牌设计!$K$5:$K$71)</f>
        <v>24</v>
      </c>
      <c r="C16" s="22">
        <f>B16/160</f>
        <v>0.15</v>
      </c>
      <c r="E16" s="4" t="s">
        <v>33</v>
      </c>
      <c r="F16" s="4">
        <f>COUNTIF(公共事件牌!$D$5:$D$24,E16)</f>
        <v>1</v>
      </c>
      <c r="G16" s="4" t="s">
        <v>34</v>
      </c>
    </row>
    <row r="17" spans="1:8">
      <c r="A17" s="4" t="s">
        <v>17</v>
      </c>
      <c r="B17" s="4">
        <f>SUM(B12:B16)</f>
        <v>160</v>
      </c>
      <c r="C17" s="22">
        <f>SUM(C12:C16)</f>
        <v>1</v>
      </c>
      <c r="E17" s="4" t="s">
        <v>17</v>
      </c>
      <c r="F17" s="4">
        <f>SUM(F12:F16)</f>
        <v>20</v>
      </c>
      <c r="G17" s="4" t="s">
        <v>35</v>
      </c>
    </row>
    <row r="19" spans="1:8">
      <c r="A19" s="23" t="s">
        <v>36</v>
      </c>
      <c r="B19" s="24"/>
      <c r="C19" s="24"/>
      <c r="D19" s="24"/>
      <c r="E19" s="24"/>
      <c r="F19" s="24"/>
      <c r="G19" s="24"/>
      <c r="H19" s="25"/>
    </row>
    <row r="20" spans="1:8">
      <c r="A20" s="26"/>
      <c r="B20" s="27"/>
      <c r="C20" s="27"/>
      <c r="D20" s="27"/>
      <c r="E20" s="27"/>
      <c r="F20" s="27"/>
      <c r="G20" s="27"/>
      <c r="H20" s="28"/>
    </row>
    <row r="22" spans="1:8">
      <c r="A22" s="6" t="s">
        <v>37</v>
      </c>
      <c r="B22" s="7"/>
      <c r="C22" s="7"/>
      <c r="D22" s="7"/>
      <c r="E22" s="7"/>
      <c r="F22" s="7"/>
      <c r="G22" s="7"/>
      <c r="H22" s="8"/>
    </row>
    <row r="23" spans="1:8">
      <c r="A23" s="12"/>
      <c r="B23" s="13"/>
      <c r="C23" s="13"/>
      <c r="D23" s="13"/>
      <c r="E23" s="13"/>
      <c r="F23" s="13"/>
      <c r="G23" s="13"/>
      <c r="H23" s="14"/>
    </row>
    <row r="25" spans="1:8">
      <c r="A25" s="29" t="s">
        <v>38</v>
      </c>
      <c r="B25" s="29"/>
      <c r="C25" s="29"/>
      <c r="D25" s="29"/>
      <c r="E25" s="29"/>
      <c r="F25" s="29"/>
      <c r="G25" s="29"/>
      <c r="H25" s="29"/>
    </row>
  </sheetData>
  <mergeCells count="5">
    <mergeCell ref="A1:H1"/>
    <mergeCell ref="A2:H2"/>
    <mergeCell ref="A25:H25"/>
    <mergeCell ref="A19:H20"/>
    <mergeCell ref="A22:H23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71"/>
  <sheetViews>
    <sheetView showGridLines="0" tabSelected="1" topLeftCell="A33" workbookViewId="0">
      <selection activeCell="H68" sqref="H68"/>
    </sheetView>
  </sheetViews>
  <sheetFormatPr defaultColWidth="9" defaultRowHeight="14.25"/>
  <cols>
    <col min="1" max="1" width="14.75" customWidth="1"/>
    <col min="2" max="2" width="23.75" customWidth="1"/>
    <col min="3" max="3" width="18.75" customWidth="1"/>
    <col min="4" max="4" width="9" customWidth="1"/>
    <col min="5" max="5" width="15.6333333333333" customWidth="1"/>
    <col min="6" max="6" width="13.1333333333333" customWidth="1"/>
    <col min="7" max="7" width="12.5" customWidth="1"/>
    <col min="8" max="8" width="42.625" customWidth="1"/>
    <col min="9" max="9" width="29.3833333333333" customWidth="1"/>
    <col min="10" max="10" width="21.8833333333333" customWidth="1"/>
    <col min="11" max="16" width="11.8833333333333" customWidth="1"/>
    <col min="17" max="24" width="11.5" customWidth="1"/>
  </cols>
  <sheetData>
    <row r="1" ht="31.5" customHeight="1" spans="1:24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7" customHeight="1" spans="1:24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4" ht="27" customHeight="1" spans="1:24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47</v>
      </c>
      <c r="H4" s="3" t="s">
        <v>48</v>
      </c>
      <c r="I4" s="3" t="s">
        <v>49</v>
      </c>
      <c r="J4" s="3" t="s">
        <v>50</v>
      </c>
      <c r="K4" s="3" t="s">
        <v>6</v>
      </c>
      <c r="L4" s="3" t="s">
        <v>51</v>
      </c>
      <c r="M4" s="3" t="s">
        <v>52</v>
      </c>
      <c r="N4" s="3" t="s">
        <v>53</v>
      </c>
      <c r="O4" s="3" t="s">
        <v>54</v>
      </c>
      <c r="P4" s="3" t="s">
        <v>55</v>
      </c>
      <c r="Q4" s="3" t="s">
        <v>56</v>
      </c>
      <c r="R4" s="3" t="s">
        <v>57</v>
      </c>
      <c r="S4" s="3" t="s">
        <v>58</v>
      </c>
      <c r="T4" s="3" t="s">
        <v>59</v>
      </c>
      <c r="U4" s="3" t="s">
        <v>60</v>
      </c>
      <c r="V4" s="3" t="s">
        <v>61</v>
      </c>
      <c r="W4" s="3" t="s">
        <v>62</v>
      </c>
      <c r="X4" s="3" t="s">
        <v>63</v>
      </c>
    </row>
    <row r="5" ht="28.5" customHeight="1" spans="1:24">
      <c r="A5" s="4" t="s">
        <v>64</v>
      </c>
      <c r="B5" s="4" t="s">
        <v>65</v>
      </c>
      <c r="C5" s="4" t="s">
        <v>9</v>
      </c>
      <c r="D5" s="21" t="s">
        <v>23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16">
        <v>3</v>
      </c>
      <c r="L5" s="16" t="s">
        <v>72</v>
      </c>
      <c r="M5" s="16">
        <v>1</v>
      </c>
      <c r="N5" s="16">
        <v>1</v>
      </c>
      <c r="O5" s="16">
        <f t="shared" ref="O5:O68" si="0">M5*N5</f>
        <v>1</v>
      </c>
      <c r="P5" s="16">
        <f t="shared" ref="P5:P68" si="1">K5*O5</f>
        <v>3</v>
      </c>
      <c r="Q5" s="16">
        <v>1</v>
      </c>
      <c r="R5" s="16">
        <v>0</v>
      </c>
      <c r="S5" s="16">
        <v>0</v>
      </c>
      <c r="T5" s="16">
        <v>0</v>
      </c>
      <c r="U5" s="16">
        <f t="shared" ref="U5:U68" si="2">K5*N5*Q5</f>
        <v>3</v>
      </c>
      <c r="V5" s="16">
        <f t="shared" ref="V5:V68" si="3">K5*N5*R5</f>
        <v>0</v>
      </c>
      <c r="W5" s="16">
        <f t="shared" ref="W5:W68" si="4">K5*N5*S5</f>
        <v>0</v>
      </c>
      <c r="X5" s="16">
        <f t="shared" ref="X5:X68" si="5">K5*N5*T5</f>
        <v>0</v>
      </c>
    </row>
    <row r="6" ht="28.5" customHeight="1" spans="1:24">
      <c r="A6" s="4" t="s">
        <v>73</v>
      </c>
      <c r="B6" s="4" t="s">
        <v>74</v>
      </c>
      <c r="C6" s="4" t="s">
        <v>9</v>
      </c>
      <c r="D6" s="21" t="s">
        <v>23</v>
      </c>
      <c r="E6" s="4" t="s">
        <v>66</v>
      </c>
      <c r="F6" s="4" t="s">
        <v>67</v>
      </c>
      <c r="G6" s="4" t="s">
        <v>68</v>
      </c>
      <c r="H6" s="4" t="s">
        <v>69</v>
      </c>
      <c r="I6" s="4" t="s">
        <v>70</v>
      </c>
      <c r="J6" s="4" t="s">
        <v>71</v>
      </c>
      <c r="K6" s="16">
        <v>3</v>
      </c>
      <c r="L6" s="16" t="s">
        <v>72</v>
      </c>
      <c r="M6" s="16">
        <v>1</v>
      </c>
      <c r="N6" s="16">
        <v>1</v>
      </c>
      <c r="O6" s="16">
        <f t="shared" si="0"/>
        <v>1</v>
      </c>
      <c r="P6" s="16">
        <f t="shared" si="1"/>
        <v>3</v>
      </c>
      <c r="Q6" s="16">
        <v>1</v>
      </c>
      <c r="R6" s="16">
        <v>0</v>
      </c>
      <c r="S6" s="16">
        <v>0</v>
      </c>
      <c r="T6" s="16">
        <v>0</v>
      </c>
      <c r="U6" s="16">
        <f t="shared" si="2"/>
        <v>3</v>
      </c>
      <c r="V6" s="16">
        <f t="shared" si="3"/>
        <v>0</v>
      </c>
      <c r="W6" s="16">
        <f t="shared" si="4"/>
        <v>0</v>
      </c>
      <c r="X6" s="16">
        <f t="shared" si="5"/>
        <v>0</v>
      </c>
    </row>
    <row r="7" ht="28.5" customHeight="1" spans="1:24">
      <c r="A7" s="4" t="s">
        <v>75</v>
      </c>
      <c r="B7" s="4" t="s">
        <v>76</v>
      </c>
      <c r="C7" s="4" t="s">
        <v>9</v>
      </c>
      <c r="D7" s="21" t="s">
        <v>23</v>
      </c>
      <c r="E7" s="4" t="s">
        <v>66</v>
      </c>
      <c r="F7" s="4" t="s">
        <v>67</v>
      </c>
      <c r="G7" s="4" t="s">
        <v>68</v>
      </c>
      <c r="H7" s="4" t="s">
        <v>69</v>
      </c>
      <c r="I7" s="4" t="s">
        <v>70</v>
      </c>
      <c r="J7" s="4" t="s">
        <v>71</v>
      </c>
      <c r="K7" s="16">
        <v>3</v>
      </c>
      <c r="L7" s="16" t="s">
        <v>72</v>
      </c>
      <c r="M7" s="16">
        <v>1</v>
      </c>
      <c r="N7" s="16">
        <v>1</v>
      </c>
      <c r="O7" s="16">
        <f t="shared" si="0"/>
        <v>1</v>
      </c>
      <c r="P7" s="16">
        <f t="shared" si="1"/>
        <v>3</v>
      </c>
      <c r="Q7" s="16">
        <v>1</v>
      </c>
      <c r="R7" s="16">
        <v>0</v>
      </c>
      <c r="S7" s="16">
        <v>0</v>
      </c>
      <c r="T7" s="16">
        <v>0</v>
      </c>
      <c r="U7" s="16">
        <f t="shared" si="2"/>
        <v>3</v>
      </c>
      <c r="V7" s="16">
        <f t="shared" si="3"/>
        <v>0</v>
      </c>
      <c r="W7" s="16">
        <f t="shared" si="4"/>
        <v>0</v>
      </c>
      <c r="X7" s="16">
        <f t="shared" si="5"/>
        <v>0</v>
      </c>
    </row>
    <row r="8" ht="28.5" customHeight="1" spans="1:24">
      <c r="A8" s="4" t="s">
        <v>77</v>
      </c>
      <c r="B8" s="4" t="s">
        <v>78</v>
      </c>
      <c r="C8" s="4" t="s">
        <v>9</v>
      </c>
      <c r="D8" s="15" t="s">
        <v>24</v>
      </c>
      <c r="E8" s="4" t="s">
        <v>66</v>
      </c>
      <c r="F8" s="4" t="s">
        <v>67</v>
      </c>
      <c r="G8" s="4" t="s">
        <v>68</v>
      </c>
      <c r="H8" s="4" t="s">
        <v>79</v>
      </c>
      <c r="I8" s="4" t="s">
        <v>70</v>
      </c>
      <c r="J8" s="4" t="s">
        <v>80</v>
      </c>
      <c r="K8" s="16">
        <v>2</v>
      </c>
      <c r="L8" s="16" t="s">
        <v>72</v>
      </c>
      <c r="M8" s="16">
        <v>2</v>
      </c>
      <c r="N8" s="16">
        <v>1</v>
      </c>
      <c r="O8" s="16">
        <f t="shared" si="0"/>
        <v>2</v>
      </c>
      <c r="P8" s="16">
        <f t="shared" si="1"/>
        <v>4</v>
      </c>
      <c r="Q8" s="16">
        <v>2</v>
      </c>
      <c r="R8" s="16">
        <v>0</v>
      </c>
      <c r="S8" s="16">
        <v>0</v>
      </c>
      <c r="T8" s="16">
        <v>0</v>
      </c>
      <c r="U8" s="16">
        <f t="shared" si="2"/>
        <v>4</v>
      </c>
      <c r="V8" s="16">
        <f t="shared" si="3"/>
        <v>0</v>
      </c>
      <c r="W8" s="16">
        <f t="shared" si="4"/>
        <v>0</v>
      </c>
      <c r="X8" s="16">
        <f t="shared" si="5"/>
        <v>0</v>
      </c>
    </row>
    <row r="9" ht="28.5" customHeight="1" spans="1:24">
      <c r="A9" s="4" t="s">
        <v>81</v>
      </c>
      <c r="B9" s="4" t="s">
        <v>82</v>
      </c>
      <c r="C9" s="4" t="s">
        <v>9</v>
      </c>
      <c r="D9" s="17" t="s">
        <v>26</v>
      </c>
      <c r="E9" s="4" t="s">
        <v>66</v>
      </c>
      <c r="F9" s="4" t="s">
        <v>67</v>
      </c>
      <c r="G9" s="4" t="s">
        <v>68</v>
      </c>
      <c r="H9" s="4" t="s">
        <v>83</v>
      </c>
      <c r="I9" s="4" t="s">
        <v>70</v>
      </c>
      <c r="J9" s="4" t="s">
        <v>84</v>
      </c>
      <c r="K9" s="16">
        <v>1</v>
      </c>
      <c r="L9" s="16" t="s">
        <v>72</v>
      </c>
      <c r="M9" s="16">
        <v>3</v>
      </c>
      <c r="N9" s="16">
        <v>1</v>
      </c>
      <c r="O9" s="16">
        <f t="shared" si="0"/>
        <v>3</v>
      </c>
      <c r="P9" s="16">
        <f t="shared" si="1"/>
        <v>3</v>
      </c>
      <c r="Q9" s="16">
        <v>3</v>
      </c>
      <c r="R9" s="16">
        <v>0</v>
      </c>
      <c r="S9" s="16">
        <v>0</v>
      </c>
      <c r="T9" s="16">
        <v>0</v>
      </c>
      <c r="U9" s="16">
        <f t="shared" si="2"/>
        <v>3</v>
      </c>
      <c r="V9" s="16">
        <f t="shared" si="3"/>
        <v>0</v>
      </c>
      <c r="W9" s="16">
        <f t="shared" si="4"/>
        <v>0</v>
      </c>
      <c r="X9" s="16">
        <f t="shared" si="5"/>
        <v>0</v>
      </c>
    </row>
    <row r="10" ht="28.5" customHeight="1" spans="1:24">
      <c r="A10" s="4" t="s">
        <v>85</v>
      </c>
      <c r="B10" s="4" t="s">
        <v>86</v>
      </c>
      <c r="C10" s="4" t="s">
        <v>9</v>
      </c>
      <c r="D10" s="21" t="s">
        <v>23</v>
      </c>
      <c r="E10" s="4" t="s">
        <v>87</v>
      </c>
      <c r="F10" s="4" t="s">
        <v>67</v>
      </c>
      <c r="G10" s="4" t="s">
        <v>68</v>
      </c>
      <c r="H10" s="4" t="s">
        <v>88</v>
      </c>
      <c r="I10" s="4" t="s">
        <v>70</v>
      </c>
      <c r="J10" s="4" t="s">
        <v>89</v>
      </c>
      <c r="K10" s="16">
        <v>3</v>
      </c>
      <c r="L10" s="16" t="s">
        <v>90</v>
      </c>
      <c r="M10" s="16">
        <v>1</v>
      </c>
      <c r="N10" s="16">
        <v>1</v>
      </c>
      <c r="O10" s="16">
        <f t="shared" si="0"/>
        <v>1</v>
      </c>
      <c r="P10" s="16">
        <f t="shared" si="1"/>
        <v>3</v>
      </c>
      <c r="Q10" s="16">
        <v>-1</v>
      </c>
      <c r="R10" s="16">
        <v>0</v>
      </c>
      <c r="S10" s="16">
        <v>0</v>
      </c>
      <c r="T10" s="16">
        <v>0</v>
      </c>
      <c r="U10" s="16">
        <f t="shared" si="2"/>
        <v>-3</v>
      </c>
      <c r="V10" s="16">
        <f t="shared" si="3"/>
        <v>0</v>
      </c>
      <c r="W10" s="16">
        <f t="shared" si="4"/>
        <v>0</v>
      </c>
      <c r="X10" s="16">
        <f t="shared" si="5"/>
        <v>0</v>
      </c>
    </row>
    <row r="11" ht="28.5" customHeight="1" spans="1:24">
      <c r="A11" s="4" t="s">
        <v>91</v>
      </c>
      <c r="B11" s="4" t="s">
        <v>92</v>
      </c>
      <c r="C11" s="4" t="s">
        <v>9</v>
      </c>
      <c r="D11" s="21" t="s">
        <v>23</v>
      </c>
      <c r="E11" s="4" t="s">
        <v>87</v>
      </c>
      <c r="F11" s="4" t="s">
        <v>67</v>
      </c>
      <c r="G11" s="4" t="s">
        <v>68</v>
      </c>
      <c r="H11" s="4" t="s">
        <v>88</v>
      </c>
      <c r="I11" s="4" t="s">
        <v>70</v>
      </c>
      <c r="J11" s="4" t="s">
        <v>89</v>
      </c>
      <c r="K11" s="16">
        <v>3</v>
      </c>
      <c r="L11" s="16" t="s">
        <v>90</v>
      </c>
      <c r="M11" s="16">
        <v>1</v>
      </c>
      <c r="N11" s="16">
        <v>1</v>
      </c>
      <c r="O11" s="16">
        <f t="shared" si="0"/>
        <v>1</v>
      </c>
      <c r="P11" s="16">
        <f t="shared" si="1"/>
        <v>3</v>
      </c>
      <c r="Q11" s="16">
        <v>-1</v>
      </c>
      <c r="R11" s="16">
        <v>0</v>
      </c>
      <c r="S11" s="16">
        <v>0</v>
      </c>
      <c r="T11" s="16">
        <v>0</v>
      </c>
      <c r="U11" s="16">
        <f t="shared" si="2"/>
        <v>-3</v>
      </c>
      <c r="V11" s="16">
        <f t="shared" si="3"/>
        <v>0</v>
      </c>
      <c r="W11" s="16">
        <f t="shared" si="4"/>
        <v>0</v>
      </c>
      <c r="X11" s="16">
        <f t="shared" si="5"/>
        <v>0</v>
      </c>
    </row>
    <row r="12" ht="28.5" customHeight="1" spans="1:24">
      <c r="A12" s="4" t="s">
        <v>93</v>
      </c>
      <c r="B12" s="4" t="s">
        <v>94</v>
      </c>
      <c r="C12" s="4" t="s">
        <v>9</v>
      </c>
      <c r="D12" s="21" t="s">
        <v>23</v>
      </c>
      <c r="E12" s="4" t="s">
        <v>87</v>
      </c>
      <c r="F12" s="4" t="s">
        <v>67</v>
      </c>
      <c r="G12" s="4" t="s">
        <v>68</v>
      </c>
      <c r="H12" s="4" t="s">
        <v>88</v>
      </c>
      <c r="I12" s="4" t="s">
        <v>70</v>
      </c>
      <c r="J12" s="4" t="s">
        <v>89</v>
      </c>
      <c r="K12" s="16">
        <v>3</v>
      </c>
      <c r="L12" s="16" t="s">
        <v>90</v>
      </c>
      <c r="M12" s="16">
        <v>1</v>
      </c>
      <c r="N12" s="16">
        <v>1</v>
      </c>
      <c r="O12" s="16">
        <f t="shared" si="0"/>
        <v>1</v>
      </c>
      <c r="P12" s="16">
        <f t="shared" si="1"/>
        <v>3</v>
      </c>
      <c r="Q12" s="16">
        <v>-1</v>
      </c>
      <c r="R12" s="16">
        <v>0</v>
      </c>
      <c r="S12" s="16">
        <v>0</v>
      </c>
      <c r="T12" s="16">
        <v>0</v>
      </c>
      <c r="U12" s="16">
        <f t="shared" si="2"/>
        <v>-3</v>
      </c>
      <c r="V12" s="16">
        <f t="shared" si="3"/>
        <v>0</v>
      </c>
      <c r="W12" s="16">
        <f t="shared" si="4"/>
        <v>0</v>
      </c>
      <c r="X12" s="16">
        <f t="shared" si="5"/>
        <v>0</v>
      </c>
    </row>
    <row r="13" ht="28.5" customHeight="1" spans="1:24">
      <c r="A13" s="4" t="s">
        <v>95</v>
      </c>
      <c r="B13" s="4" t="s">
        <v>96</v>
      </c>
      <c r="C13" s="4" t="s">
        <v>9</v>
      </c>
      <c r="D13" s="15" t="s">
        <v>24</v>
      </c>
      <c r="E13" s="4" t="s">
        <v>87</v>
      </c>
      <c r="F13" s="4" t="s">
        <v>67</v>
      </c>
      <c r="G13" s="4" t="s">
        <v>68</v>
      </c>
      <c r="H13" s="4" t="s">
        <v>97</v>
      </c>
      <c r="I13" s="4" t="s">
        <v>70</v>
      </c>
      <c r="J13" s="4" t="s">
        <v>98</v>
      </c>
      <c r="K13" s="16">
        <v>2</v>
      </c>
      <c r="L13" s="16" t="s">
        <v>90</v>
      </c>
      <c r="M13" s="16">
        <v>2</v>
      </c>
      <c r="N13" s="16">
        <v>1</v>
      </c>
      <c r="O13" s="16">
        <f t="shared" si="0"/>
        <v>2</v>
      </c>
      <c r="P13" s="16">
        <f t="shared" si="1"/>
        <v>4</v>
      </c>
      <c r="Q13" s="16">
        <v>-2</v>
      </c>
      <c r="R13" s="16">
        <v>0</v>
      </c>
      <c r="S13" s="16">
        <v>0</v>
      </c>
      <c r="T13" s="16">
        <v>0</v>
      </c>
      <c r="U13" s="16">
        <f t="shared" si="2"/>
        <v>-4</v>
      </c>
      <c r="V13" s="16">
        <f t="shared" si="3"/>
        <v>0</v>
      </c>
      <c r="W13" s="16">
        <f t="shared" si="4"/>
        <v>0</v>
      </c>
      <c r="X13" s="16">
        <f t="shared" si="5"/>
        <v>0</v>
      </c>
    </row>
    <row r="14" ht="28.5" customHeight="1" spans="1:24">
      <c r="A14" s="4" t="s">
        <v>99</v>
      </c>
      <c r="B14" s="4" t="s">
        <v>100</v>
      </c>
      <c r="C14" s="4" t="s">
        <v>9</v>
      </c>
      <c r="D14" s="17" t="s">
        <v>26</v>
      </c>
      <c r="E14" s="4" t="s">
        <v>87</v>
      </c>
      <c r="F14" s="4" t="s">
        <v>67</v>
      </c>
      <c r="G14" s="4" t="s">
        <v>68</v>
      </c>
      <c r="H14" s="4" t="s">
        <v>101</v>
      </c>
      <c r="I14" s="4" t="s">
        <v>70</v>
      </c>
      <c r="J14" s="4" t="s">
        <v>102</v>
      </c>
      <c r="K14" s="16">
        <v>1</v>
      </c>
      <c r="L14" s="16" t="s">
        <v>90</v>
      </c>
      <c r="M14" s="16">
        <v>3</v>
      </c>
      <c r="N14" s="16">
        <v>1</v>
      </c>
      <c r="O14" s="16">
        <f t="shared" si="0"/>
        <v>3</v>
      </c>
      <c r="P14" s="16">
        <f t="shared" si="1"/>
        <v>3</v>
      </c>
      <c r="Q14" s="16">
        <v>-3</v>
      </c>
      <c r="R14" s="16">
        <v>0</v>
      </c>
      <c r="S14" s="16">
        <v>0</v>
      </c>
      <c r="T14" s="16">
        <v>0</v>
      </c>
      <c r="U14" s="16">
        <f t="shared" si="2"/>
        <v>-3</v>
      </c>
      <c r="V14" s="16">
        <f t="shared" si="3"/>
        <v>0</v>
      </c>
      <c r="W14" s="16">
        <f t="shared" si="4"/>
        <v>0</v>
      </c>
      <c r="X14" s="16">
        <f t="shared" si="5"/>
        <v>0</v>
      </c>
    </row>
    <row r="15" ht="28.5" customHeight="1" spans="1:24">
      <c r="A15" s="4" t="s">
        <v>103</v>
      </c>
      <c r="B15" s="4" t="s">
        <v>104</v>
      </c>
      <c r="C15" s="4" t="s">
        <v>9</v>
      </c>
      <c r="D15" s="21" t="s">
        <v>23</v>
      </c>
      <c r="E15" s="4" t="s">
        <v>66</v>
      </c>
      <c r="F15" s="4" t="s">
        <v>105</v>
      </c>
      <c r="G15" s="4" t="s">
        <v>68</v>
      </c>
      <c r="H15" s="4" t="s">
        <v>106</v>
      </c>
      <c r="I15" s="4" t="s">
        <v>70</v>
      </c>
      <c r="J15" s="4" t="s">
        <v>71</v>
      </c>
      <c r="K15" s="16">
        <v>3</v>
      </c>
      <c r="L15" s="16" t="s">
        <v>72</v>
      </c>
      <c r="M15" s="16">
        <v>1</v>
      </c>
      <c r="N15" s="16">
        <v>1</v>
      </c>
      <c r="O15" s="16">
        <f t="shared" si="0"/>
        <v>1</v>
      </c>
      <c r="P15" s="16">
        <f t="shared" si="1"/>
        <v>3</v>
      </c>
      <c r="Q15" s="16">
        <v>0</v>
      </c>
      <c r="R15" s="16">
        <v>1</v>
      </c>
      <c r="S15" s="16">
        <v>0</v>
      </c>
      <c r="T15" s="16">
        <v>0</v>
      </c>
      <c r="U15" s="16">
        <f t="shared" si="2"/>
        <v>0</v>
      </c>
      <c r="V15" s="16">
        <f t="shared" si="3"/>
        <v>3</v>
      </c>
      <c r="W15" s="16">
        <f t="shared" si="4"/>
        <v>0</v>
      </c>
      <c r="X15" s="16">
        <f t="shared" si="5"/>
        <v>0</v>
      </c>
    </row>
    <row r="16" ht="28.5" customHeight="1" spans="1:24">
      <c r="A16" s="4" t="s">
        <v>107</v>
      </c>
      <c r="B16" s="4" t="s">
        <v>108</v>
      </c>
      <c r="C16" s="4" t="s">
        <v>9</v>
      </c>
      <c r="D16" s="21" t="s">
        <v>23</v>
      </c>
      <c r="E16" s="4" t="s">
        <v>66</v>
      </c>
      <c r="F16" s="4" t="s">
        <v>105</v>
      </c>
      <c r="G16" s="4" t="s">
        <v>68</v>
      </c>
      <c r="H16" s="4" t="s">
        <v>106</v>
      </c>
      <c r="I16" s="4" t="s">
        <v>70</v>
      </c>
      <c r="J16" s="4" t="s">
        <v>71</v>
      </c>
      <c r="K16" s="16">
        <v>3</v>
      </c>
      <c r="L16" s="16" t="s">
        <v>72</v>
      </c>
      <c r="M16" s="16">
        <v>1</v>
      </c>
      <c r="N16" s="16">
        <v>1</v>
      </c>
      <c r="O16" s="16">
        <f t="shared" si="0"/>
        <v>1</v>
      </c>
      <c r="P16" s="16">
        <f t="shared" si="1"/>
        <v>3</v>
      </c>
      <c r="Q16" s="16">
        <v>0</v>
      </c>
      <c r="R16" s="16">
        <v>1</v>
      </c>
      <c r="S16" s="16">
        <v>0</v>
      </c>
      <c r="T16" s="16">
        <v>0</v>
      </c>
      <c r="U16" s="16">
        <f t="shared" si="2"/>
        <v>0</v>
      </c>
      <c r="V16" s="16">
        <f t="shared" si="3"/>
        <v>3</v>
      </c>
      <c r="W16" s="16">
        <f t="shared" si="4"/>
        <v>0</v>
      </c>
      <c r="X16" s="16">
        <f t="shared" si="5"/>
        <v>0</v>
      </c>
    </row>
    <row r="17" ht="28.5" customHeight="1" spans="1:24">
      <c r="A17" s="4" t="s">
        <v>109</v>
      </c>
      <c r="B17" s="4" t="s">
        <v>110</v>
      </c>
      <c r="C17" s="4" t="s">
        <v>9</v>
      </c>
      <c r="D17" s="21" t="s">
        <v>23</v>
      </c>
      <c r="E17" s="4" t="s">
        <v>66</v>
      </c>
      <c r="F17" s="4" t="s">
        <v>105</v>
      </c>
      <c r="G17" s="4" t="s">
        <v>68</v>
      </c>
      <c r="H17" s="4" t="s">
        <v>106</v>
      </c>
      <c r="I17" s="4" t="s">
        <v>70</v>
      </c>
      <c r="J17" s="4" t="s">
        <v>71</v>
      </c>
      <c r="K17" s="16">
        <v>3</v>
      </c>
      <c r="L17" s="16" t="s">
        <v>72</v>
      </c>
      <c r="M17" s="16">
        <v>1</v>
      </c>
      <c r="N17" s="16">
        <v>1</v>
      </c>
      <c r="O17" s="16">
        <f t="shared" si="0"/>
        <v>1</v>
      </c>
      <c r="P17" s="16">
        <f t="shared" si="1"/>
        <v>3</v>
      </c>
      <c r="Q17" s="16">
        <v>0</v>
      </c>
      <c r="R17" s="16">
        <v>1</v>
      </c>
      <c r="S17" s="16">
        <v>0</v>
      </c>
      <c r="T17" s="16">
        <v>0</v>
      </c>
      <c r="U17" s="16">
        <f t="shared" si="2"/>
        <v>0</v>
      </c>
      <c r="V17" s="16">
        <f t="shared" si="3"/>
        <v>3</v>
      </c>
      <c r="W17" s="16">
        <f t="shared" si="4"/>
        <v>0</v>
      </c>
      <c r="X17" s="16">
        <f t="shared" si="5"/>
        <v>0</v>
      </c>
    </row>
    <row r="18" ht="28.5" customHeight="1" spans="1:24">
      <c r="A18" s="4" t="s">
        <v>111</v>
      </c>
      <c r="B18" s="4" t="s">
        <v>112</v>
      </c>
      <c r="C18" s="4" t="s">
        <v>9</v>
      </c>
      <c r="D18" s="15" t="s">
        <v>24</v>
      </c>
      <c r="E18" s="4" t="s">
        <v>66</v>
      </c>
      <c r="F18" s="4" t="s">
        <v>105</v>
      </c>
      <c r="G18" s="4" t="s">
        <v>68</v>
      </c>
      <c r="H18" s="4" t="s">
        <v>113</v>
      </c>
      <c r="I18" s="4" t="s">
        <v>70</v>
      </c>
      <c r="J18" s="4" t="s">
        <v>80</v>
      </c>
      <c r="K18" s="16">
        <v>2</v>
      </c>
      <c r="L18" s="16" t="s">
        <v>72</v>
      </c>
      <c r="M18" s="16">
        <v>2</v>
      </c>
      <c r="N18" s="16">
        <v>1</v>
      </c>
      <c r="O18" s="16">
        <f t="shared" si="0"/>
        <v>2</v>
      </c>
      <c r="P18" s="16">
        <f t="shared" si="1"/>
        <v>4</v>
      </c>
      <c r="Q18" s="16">
        <v>0</v>
      </c>
      <c r="R18" s="16">
        <v>2</v>
      </c>
      <c r="S18" s="16">
        <v>0</v>
      </c>
      <c r="T18" s="16">
        <v>0</v>
      </c>
      <c r="U18" s="16">
        <f t="shared" si="2"/>
        <v>0</v>
      </c>
      <c r="V18" s="16">
        <f t="shared" si="3"/>
        <v>4</v>
      </c>
      <c r="W18" s="16">
        <f t="shared" si="4"/>
        <v>0</v>
      </c>
      <c r="X18" s="16">
        <f t="shared" si="5"/>
        <v>0</v>
      </c>
    </row>
    <row r="19" ht="28.5" customHeight="1" spans="1:24">
      <c r="A19" s="4" t="s">
        <v>114</v>
      </c>
      <c r="B19" s="4" t="s">
        <v>115</v>
      </c>
      <c r="C19" s="4" t="s">
        <v>9</v>
      </c>
      <c r="D19" s="17" t="s">
        <v>26</v>
      </c>
      <c r="E19" s="4" t="s">
        <v>66</v>
      </c>
      <c r="F19" s="4" t="s">
        <v>105</v>
      </c>
      <c r="G19" s="4" t="s">
        <v>68</v>
      </c>
      <c r="H19" s="4" t="s">
        <v>116</v>
      </c>
      <c r="I19" s="4" t="s">
        <v>70</v>
      </c>
      <c r="J19" s="4" t="s">
        <v>84</v>
      </c>
      <c r="K19" s="16">
        <v>1</v>
      </c>
      <c r="L19" s="16" t="s">
        <v>72</v>
      </c>
      <c r="M19" s="16">
        <v>3</v>
      </c>
      <c r="N19" s="16">
        <v>1</v>
      </c>
      <c r="O19" s="16">
        <f t="shared" si="0"/>
        <v>3</v>
      </c>
      <c r="P19" s="16">
        <f t="shared" si="1"/>
        <v>3</v>
      </c>
      <c r="Q19" s="16">
        <v>0</v>
      </c>
      <c r="R19" s="16">
        <v>3</v>
      </c>
      <c r="S19" s="16">
        <v>0</v>
      </c>
      <c r="T19" s="16">
        <v>0</v>
      </c>
      <c r="U19" s="16">
        <f t="shared" si="2"/>
        <v>0</v>
      </c>
      <c r="V19" s="16">
        <f t="shared" si="3"/>
        <v>3</v>
      </c>
      <c r="W19" s="16">
        <f t="shared" si="4"/>
        <v>0</v>
      </c>
      <c r="X19" s="16">
        <f t="shared" si="5"/>
        <v>0</v>
      </c>
    </row>
    <row r="20" ht="28.5" customHeight="1" spans="1:24">
      <c r="A20" s="4" t="s">
        <v>117</v>
      </c>
      <c r="B20" s="4" t="s">
        <v>118</v>
      </c>
      <c r="C20" s="4" t="s">
        <v>9</v>
      </c>
      <c r="D20" s="21" t="s">
        <v>23</v>
      </c>
      <c r="E20" s="4" t="s">
        <v>87</v>
      </c>
      <c r="F20" s="4" t="s">
        <v>105</v>
      </c>
      <c r="G20" s="4" t="s">
        <v>68</v>
      </c>
      <c r="H20" s="4" t="s">
        <v>119</v>
      </c>
      <c r="I20" s="4" t="s">
        <v>70</v>
      </c>
      <c r="J20" s="4" t="s">
        <v>89</v>
      </c>
      <c r="K20" s="16">
        <v>3</v>
      </c>
      <c r="L20" s="16" t="s">
        <v>90</v>
      </c>
      <c r="M20" s="16">
        <v>1</v>
      </c>
      <c r="N20" s="16">
        <v>1</v>
      </c>
      <c r="O20" s="16">
        <f t="shared" si="0"/>
        <v>1</v>
      </c>
      <c r="P20" s="16">
        <f t="shared" si="1"/>
        <v>3</v>
      </c>
      <c r="Q20" s="16">
        <v>0</v>
      </c>
      <c r="R20" s="16">
        <v>-1</v>
      </c>
      <c r="S20" s="16">
        <v>0</v>
      </c>
      <c r="T20" s="16">
        <v>0</v>
      </c>
      <c r="U20" s="16">
        <f t="shared" si="2"/>
        <v>0</v>
      </c>
      <c r="V20" s="16">
        <f t="shared" si="3"/>
        <v>-3</v>
      </c>
      <c r="W20" s="16">
        <f t="shared" si="4"/>
        <v>0</v>
      </c>
      <c r="X20" s="16">
        <f t="shared" si="5"/>
        <v>0</v>
      </c>
    </row>
    <row r="21" ht="28.5" customHeight="1" spans="1:24">
      <c r="A21" s="4" t="s">
        <v>120</v>
      </c>
      <c r="B21" s="4" t="s">
        <v>121</v>
      </c>
      <c r="C21" s="4" t="s">
        <v>9</v>
      </c>
      <c r="D21" s="21" t="s">
        <v>23</v>
      </c>
      <c r="E21" s="4" t="s">
        <v>87</v>
      </c>
      <c r="F21" s="4" t="s">
        <v>105</v>
      </c>
      <c r="G21" s="4" t="s">
        <v>68</v>
      </c>
      <c r="H21" s="4" t="s">
        <v>119</v>
      </c>
      <c r="I21" s="4" t="s">
        <v>70</v>
      </c>
      <c r="J21" s="4" t="s">
        <v>89</v>
      </c>
      <c r="K21" s="16">
        <v>3</v>
      </c>
      <c r="L21" s="16" t="s">
        <v>90</v>
      </c>
      <c r="M21" s="16">
        <v>1</v>
      </c>
      <c r="N21" s="16">
        <v>1</v>
      </c>
      <c r="O21" s="16">
        <f t="shared" si="0"/>
        <v>1</v>
      </c>
      <c r="P21" s="16">
        <f t="shared" si="1"/>
        <v>3</v>
      </c>
      <c r="Q21" s="16">
        <v>0</v>
      </c>
      <c r="R21" s="16">
        <v>-1</v>
      </c>
      <c r="S21" s="16">
        <v>0</v>
      </c>
      <c r="T21" s="16">
        <v>0</v>
      </c>
      <c r="U21" s="16">
        <f t="shared" si="2"/>
        <v>0</v>
      </c>
      <c r="V21" s="16">
        <f t="shared" si="3"/>
        <v>-3</v>
      </c>
      <c r="W21" s="16">
        <f t="shared" si="4"/>
        <v>0</v>
      </c>
      <c r="X21" s="16">
        <f t="shared" si="5"/>
        <v>0</v>
      </c>
    </row>
    <row r="22" ht="28.5" customHeight="1" spans="1:24">
      <c r="A22" s="4" t="s">
        <v>122</v>
      </c>
      <c r="B22" s="4" t="s">
        <v>123</v>
      </c>
      <c r="C22" s="4" t="s">
        <v>9</v>
      </c>
      <c r="D22" s="21" t="s">
        <v>23</v>
      </c>
      <c r="E22" s="4" t="s">
        <v>87</v>
      </c>
      <c r="F22" s="4" t="s">
        <v>105</v>
      </c>
      <c r="G22" s="4" t="s">
        <v>68</v>
      </c>
      <c r="H22" s="4" t="s">
        <v>119</v>
      </c>
      <c r="I22" s="4" t="s">
        <v>70</v>
      </c>
      <c r="J22" s="4" t="s">
        <v>89</v>
      </c>
      <c r="K22" s="16">
        <v>3</v>
      </c>
      <c r="L22" s="16" t="s">
        <v>90</v>
      </c>
      <c r="M22" s="16">
        <v>1</v>
      </c>
      <c r="N22" s="16">
        <v>1</v>
      </c>
      <c r="O22" s="16">
        <f t="shared" si="0"/>
        <v>1</v>
      </c>
      <c r="P22" s="16">
        <f t="shared" si="1"/>
        <v>3</v>
      </c>
      <c r="Q22" s="16">
        <v>0</v>
      </c>
      <c r="R22" s="16">
        <v>-1</v>
      </c>
      <c r="S22" s="16">
        <v>0</v>
      </c>
      <c r="T22" s="16">
        <v>0</v>
      </c>
      <c r="U22" s="16">
        <f t="shared" si="2"/>
        <v>0</v>
      </c>
      <c r="V22" s="16">
        <f t="shared" si="3"/>
        <v>-3</v>
      </c>
      <c r="W22" s="16">
        <f t="shared" si="4"/>
        <v>0</v>
      </c>
      <c r="X22" s="16">
        <f t="shared" si="5"/>
        <v>0</v>
      </c>
    </row>
    <row r="23" ht="28.5" customHeight="1" spans="1:24">
      <c r="A23" s="4" t="s">
        <v>124</v>
      </c>
      <c r="B23" s="4" t="s">
        <v>125</v>
      </c>
      <c r="C23" s="4" t="s">
        <v>9</v>
      </c>
      <c r="D23" s="15" t="s">
        <v>24</v>
      </c>
      <c r="E23" s="4" t="s">
        <v>87</v>
      </c>
      <c r="F23" s="4" t="s">
        <v>105</v>
      </c>
      <c r="G23" s="4" t="s">
        <v>68</v>
      </c>
      <c r="H23" s="4" t="s">
        <v>126</v>
      </c>
      <c r="I23" s="4" t="s">
        <v>70</v>
      </c>
      <c r="J23" s="4" t="s">
        <v>98</v>
      </c>
      <c r="K23" s="16">
        <v>2</v>
      </c>
      <c r="L23" s="16" t="s">
        <v>90</v>
      </c>
      <c r="M23" s="16">
        <v>2</v>
      </c>
      <c r="N23" s="16">
        <v>1</v>
      </c>
      <c r="O23" s="16">
        <f t="shared" si="0"/>
        <v>2</v>
      </c>
      <c r="P23" s="16">
        <f t="shared" si="1"/>
        <v>4</v>
      </c>
      <c r="Q23" s="16">
        <v>0</v>
      </c>
      <c r="R23" s="16">
        <v>-2</v>
      </c>
      <c r="S23" s="16">
        <v>0</v>
      </c>
      <c r="T23" s="16">
        <v>0</v>
      </c>
      <c r="U23" s="16">
        <f t="shared" si="2"/>
        <v>0</v>
      </c>
      <c r="V23" s="16">
        <f t="shared" si="3"/>
        <v>-4</v>
      </c>
      <c r="W23" s="16">
        <f t="shared" si="4"/>
        <v>0</v>
      </c>
      <c r="X23" s="16">
        <f t="shared" si="5"/>
        <v>0</v>
      </c>
    </row>
    <row r="24" ht="28.5" customHeight="1" spans="1:24">
      <c r="A24" s="4" t="s">
        <v>127</v>
      </c>
      <c r="B24" s="4" t="s">
        <v>128</v>
      </c>
      <c r="C24" s="4" t="s">
        <v>9</v>
      </c>
      <c r="D24" s="17" t="s">
        <v>26</v>
      </c>
      <c r="E24" s="4" t="s">
        <v>87</v>
      </c>
      <c r="F24" s="4" t="s">
        <v>105</v>
      </c>
      <c r="G24" s="4" t="s">
        <v>68</v>
      </c>
      <c r="H24" s="4" t="s">
        <v>129</v>
      </c>
      <c r="I24" s="4" t="s">
        <v>70</v>
      </c>
      <c r="J24" s="4" t="s">
        <v>102</v>
      </c>
      <c r="K24" s="16">
        <v>1</v>
      </c>
      <c r="L24" s="16" t="s">
        <v>90</v>
      </c>
      <c r="M24" s="16">
        <v>3</v>
      </c>
      <c r="N24" s="16">
        <v>1</v>
      </c>
      <c r="O24" s="16">
        <f t="shared" si="0"/>
        <v>3</v>
      </c>
      <c r="P24" s="16">
        <f t="shared" si="1"/>
        <v>3</v>
      </c>
      <c r="Q24" s="16">
        <v>0</v>
      </c>
      <c r="R24" s="16">
        <v>-3</v>
      </c>
      <c r="S24" s="16">
        <v>0</v>
      </c>
      <c r="T24" s="16">
        <v>0</v>
      </c>
      <c r="U24" s="16">
        <f t="shared" si="2"/>
        <v>0</v>
      </c>
      <c r="V24" s="16">
        <f t="shared" si="3"/>
        <v>-3</v>
      </c>
      <c r="W24" s="16">
        <f t="shared" si="4"/>
        <v>0</v>
      </c>
      <c r="X24" s="16">
        <f t="shared" si="5"/>
        <v>0</v>
      </c>
    </row>
    <row r="25" ht="28.5" customHeight="1" spans="1:24">
      <c r="A25" s="4" t="s">
        <v>130</v>
      </c>
      <c r="B25" s="4" t="s">
        <v>131</v>
      </c>
      <c r="C25" s="4" t="s">
        <v>9</v>
      </c>
      <c r="D25" s="21" t="s">
        <v>23</v>
      </c>
      <c r="E25" s="4" t="s">
        <v>66</v>
      </c>
      <c r="F25" s="4" t="s">
        <v>132</v>
      </c>
      <c r="G25" s="4" t="s">
        <v>68</v>
      </c>
      <c r="H25" s="4" t="s">
        <v>133</v>
      </c>
      <c r="I25" s="4" t="s">
        <v>70</v>
      </c>
      <c r="J25" s="4" t="s">
        <v>71</v>
      </c>
      <c r="K25" s="16">
        <v>3</v>
      </c>
      <c r="L25" s="16" t="s">
        <v>72</v>
      </c>
      <c r="M25" s="16">
        <v>1</v>
      </c>
      <c r="N25" s="16">
        <v>1</v>
      </c>
      <c r="O25" s="16">
        <f t="shared" si="0"/>
        <v>1</v>
      </c>
      <c r="P25" s="16">
        <f t="shared" si="1"/>
        <v>3</v>
      </c>
      <c r="Q25" s="16">
        <v>0</v>
      </c>
      <c r="R25" s="16">
        <v>0</v>
      </c>
      <c r="S25" s="16">
        <v>1</v>
      </c>
      <c r="T25" s="16">
        <v>0</v>
      </c>
      <c r="U25" s="16">
        <f t="shared" si="2"/>
        <v>0</v>
      </c>
      <c r="V25" s="16">
        <f t="shared" si="3"/>
        <v>0</v>
      </c>
      <c r="W25" s="16">
        <f t="shared" si="4"/>
        <v>3</v>
      </c>
      <c r="X25" s="16">
        <f t="shared" si="5"/>
        <v>0</v>
      </c>
    </row>
    <row r="26" ht="28.5" customHeight="1" spans="1:24">
      <c r="A26" s="4" t="s">
        <v>134</v>
      </c>
      <c r="B26" s="4" t="s">
        <v>135</v>
      </c>
      <c r="C26" s="4" t="s">
        <v>9</v>
      </c>
      <c r="D26" s="21" t="s">
        <v>23</v>
      </c>
      <c r="E26" s="4" t="s">
        <v>66</v>
      </c>
      <c r="F26" s="4" t="s">
        <v>132</v>
      </c>
      <c r="G26" s="4" t="s">
        <v>68</v>
      </c>
      <c r="H26" s="4" t="s">
        <v>133</v>
      </c>
      <c r="I26" s="4" t="s">
        <v>70</v>
      </c>
      <c r="J26" s="4" t="s">
        <v>71</v>
      </c>
      <c r="K26" s="16">
        <v>3</v>
      </c>
      <c r="L26" s="16" t="s">
        <v>72</v>
      </c>
      <c r="M26" s="16">
        <v>1</v>
      </c>
      <c r="N26" s="16">
        <v>1</v>
      </c>
      <c r="O26" s="16">
        <f t="shared" si="0"/>
        <v>1</v>
      </c>
      <c r="P26" s="16">
        <f t="shared" si="1"/>
        <v>3</v>
      </c>
      <c r="Q26" s="16">
        <v>0</v>
      </c>
      <c r="R26" s="16">
        <v>0</v>
      </c>
      <c r="S26" s="16">
        <v>1</v>
      </c>
      <c r="T26" s="16">
        <v>0</v>
      </c>
      <c r="U26" s="16">
        <f t="shared" si="2"/>
        <v>0</v>
      </c>
      <c r="V26" s="16">
        <f t="shared" si="3"/>
        <v>0</v>
      </c>
      <c r="W26" s="16">
        <f t="shared" si="4"/>
        <v>3</v>
      </c>
      <c r="X26" s="16">
        <f t="shared" si="5"/>
        <v>0</v>
      </c>
    </row>
    <row r="27" ht="28.5" customHeight="1" spans="1:24">
      <c r="A27" s="4" t="s">
        <v>136</v>
      </c>
      <c r="B27" s="4" t="s">
        <v>137</v>
      </c>
      <c r="C27" s="4" t="s">
        <v>9</v>
      </c>
      <c r="D27" s="21" t="s">
        <v>23</v>
      </c>
      <c r="E27" s="4" t="s">
        <v>66</v>
      </c>
      <c r="F27" s="4" t="s">
        <v>132</v>
      </c>
      <c r="G27" s="4" t="s">
        <v>68</v>
      </c>
      <c r="H27" s="4" t="s">
        <v>133</v>
      </c>
      <c r="I27" s="4" t="s">
        <v>70</v>
      </c>
      <c r="J27" s="4" t="s">
        <v>71</v>
      </c>
      <c r="K27" s="16">
        <v>3</v>
      </c>
      <c r="L27" s="16" t="s">
        <v>72</v>
      </c>
      <c r="M27" s="16">
        <v>1</v>
      </c>
      <c r="N27" s="16">
        <v>1</v>
      </c>
      <c r="O27" s="16">
        <f t="shared" si="0"/>
        <v>1</v>
      </c>
      <c r="P27" s="16">
        <f t="shared" si="1"/>
        <v>3</v>
      </c>
      <c r="Q27" s="16">
        <v>0</v>
      </c>
      <c r="R27" s="16">
        <v>0</v>
      </c>
      <c r="S27" s="16">
        <v>1</v>
      </c>
      <c r="T27" s="16">
        <v>0</v>
      </c>
      <c r="U27" s="16">
        <f t="shared" si="2"/>
        <v>0</v>
      </c>
      <c r="V27" s="16">
        <f t="shared" si="3"/>
        <v>0</v>
      </c>
      <c r="W27" s="16">
        <f t="shared" si="4"/>
        <v>3</v>
      </c>
      <c r="X27" s="16">
        <f t="shared" si="5"/>
        <v>0</v>
      </c>
    </row>
    <row r="28" ht="28.5" customHeight="1" spans="1:24">
      <c r="A28" s="4" t="s">
        <v>138</v>
      </c>
      <c r="B28" s="4" t="s">
        <v>139</v>
      </c>
      <c r="C28" s="4" t="s">
        <v>9</v>
      </c>
      <c r="D28" s="15" t="s">
        <v>24</v>
      </c>
      <c r="E28" s="4" t="s">
        <v>66</v>
      </c>
      <c r="F28" s="4" t="s">
        <v>132</v>
      </c>
      <c r="G28" s="4" t="s">
        <v>68</v>
      </c>
      <c r="H28" s="4" t="s">
        <v>140</v>
      </c>
      <c r="I28" s="4" t="s">
        <v>70</v>
      </c>
      <c r="J28" s="4" t="s">
        <v>80</v>
      </c>
      <c r="K28" s="16">
        <v>2</v>
      </c>
      <c r="L28" s="16" t="s">
        <v>72</v>
      </c>
      <c r="M28" s="16">
        <v>2</v>
      </c>
      <c r="N28" s="16">
        <v>1</v>
      </c>
      <c r="O28" s="16">
        <f t="shared" si="0"/>
        <v>2</v>
      </c>
      <c r="P28" s="16">
        <f t="shared" si="1"/>
        <v>4</v>
      </c>
      <c r="Q28" s="16">
        <v>0</v>
      </c>
      <c r="R28" s="16">
        <v>0</v>
      </c>
      <c r="S28" s="16">
        <v>2</v>
      </c>
      <c r="T28" s="16">
        <v>0</v>
      </c>
      <c r="U28" s="16">
        <f t="shared" si="2"/>
        <v>0</v>
      </c>
      <c r="V28" s="16">
        <f t="shared" si="3"/>
        <v>0</v>
      </c>
      <c r="W28" s="16">
        <f t="shared" si="4"/>
        <v>4</v>
      </c>
      <c r="X28" s="16">
        <f t="shared" si="5"/>
        <v>0</v>
      </c>
    </row>
    <row r="29" ht="28.5" customHeight="1" spans="1:24">
      <c r="A29" s="4" t="s">
        <v>141</v>
      </c>
      <c r="B29" s="4" t="s">
        <v>142</v>
      </c>
      <c r="C29" s="4" t="s">
        <v>9</v>
      </c>
      <c r="D29" s="17" t="s">
        <v>26</v>
      </c>
      <c r="E29" s="4" t="s">
        <v>66</v>
      </c>
      <c r="F29" s="4" t="s">
        <v>132</v>
      </c>
      <c r="G29" s="4" t="s">
        <v>68</v>
      </c>
      <c r="H29" s="4" t="s">
        <v>143</v>
      </c>
      <c r="I29" s="4" t="s">
        <v>70</v>
      </c>
      <c r="J29" s="4" t="s">
        <v>84</v>
      </c>
      <c r="K29" s="16">
        <v>1</v>
      </c>
      <c r="L29" s="16" t="s">
        <v>72</v>
      </c>
      <c r="M29" s="16">
        <v>3</v>
      </c>
      <c r="N29" s="16">
        <v>1</v>
      </c>
      <c r="O29" s="16">
        <f t="shared" si="0"/>
        <v>3</v>
      </c>
      <c r="P29" s="16">
        <f t="shared" si="1"/>
        <v>3</v>
      </c>
      <c r="Q29" s="16">
        <v>0</v>
      </c>
      <c r="R29" s="16">
        <v>0</v>
      </c>
      <c r="S29" s="16">
        <v>3</v>
      </c>
      <c r="T29" s="16">
        <v>0</v>
      </c>
      <c r="U29" s="16">
        <f t="shared" si="2"/>
        <v>0</v>
      </c>
      <c r="V29" s="16">
        <f t="shared" si="3"/>
        <v>0</v>
      </c>
      <c r="W29" s="16">
        <f t="shared" si="4"/>
        <v>3</v>
      </c>
      <c r="X29" s="16">
        <f t="shared" si="5"/>
        <v>0</v>
      </c>
    </row>
    <row r="30" ht="28.5" customHeight="1" spans="1:24">
      <c r="A30" s="4" t="s">
        <v>144</v>
      </c>
      <c r="B30" s="4" t="s">
        <v>145</v>
      </c>
      <c r="C30" s="4" t="s">
        <v>9</v>
      </c>
      <c r="D30" s="21" t="s">
        <v>23</v>
      </c>
      <c r="E30" s="4" t="s">
        <v>87</v>
      </c>
      <c r="F30" s="4" t="s">
        <v>132</v>
      </c>
      <c r="G30" s="4" t="s">
        <v>68</v>
      </c>
      <c r="H30" s="4" t="s">
        <v>146</v>
      </c>
      <c r="I30" s="4" t="s">
        <v>70</v>
      </c>
      <c r="J30" s="4" t="s">
        <v>89</v>
      </c>
      <c r="K30" s="16">
        <v>3</v>
      </c>
      <c r="L30" s="16" t="s">
        <v>90</v>
      </c>
      <c r="M30" s="16">
        <v>1</v>
      </c>
      <c r="N30" s="16">
        <v>1</v>
      </c>
      <c r="O30" s="16">
        <f t="shared" si="0"/>
        <v>1</v>
      </c>
      <c r="P30" s="16">
        <f t="shared" si="1"/>
        <v>3</v>
      </c>
      <c r="Q30" s="16">
        <v>0</v>
      </c>
      <c r="R30" s="16">
        <v>0</v>
      </c>
      <c r="S30" s="16">
        <v>-1</v>
      </c>
      <c r="T30" s="16">
        <v>0</v>
      </c>
      <c r="U30" s="16">
        <f t="shared" si="2"/>
        <v>0</v>
      </c>
      <c r="V30" s="16">
        <f t="shared" si="3"/>
        <v>0</v>
      </c>
      <c r="W30" s="16">
        <f t="shared" si="4"/>
        <v>-3</v>
      </c>
      <c r="X30" s="16">
        <f t="shared" si="5"/>
        <v>0</v>
      </c>
    </row>
    <row r="31" ht="28.5" customHeight="1" spans="1:24">
      <c r="A31" s="4" t="s">
        <v>147</v>
      </c>
      <c r="B31" s="4" t="s">
        <v>148</v>
      </c>
      <c r="C31" s="4" t="s">
        <v>9</v>
      </c>
      <c r="D31" s="21" t="s">
        <v>23</v>
      </c>
      <c r="E31" s="4" t="s">
        <v>87</v>
      </c>
      <c r="F31" s="4" t="s">
        <v>132</v>
      </c>
      <c r="G31" s="4" t="s">
        <v>68</v>
      </c>
      <c r="H31" s="4" t="s">
        <v>146</v>
      </c>
      <c r="I31" s="4" t="s">
        <v>70</v>
      </c>
      <c r="J31" s="4" t="s">
        <v>89</v>
      </c>
      <c r="K31" s="16">
        <v>3</v>
      </c>
      <c r="L31" s="16" t="s">
        <v>90</v>
      </c>
      <c r="M31" s="16">
        <v>1</v>
      </c>
      <c r="N31" s="16">
        <v>1</v>
      </c>
      <c r="O31" s="16">
        <f t="shared" si="0"/>
        <v>1</v>
      </c>
      <c r="P31" s="16">
        <f t="shared" si="1"/>
        <v>3</v>
      </c>
      <c r="Q31" s="16">
        <v>0</v>
      </c>
      <c r="R31" s="16">
        <v>0</v>
      </c>
      <c r="S31" s="16">
        <v>-1</v>
      </c>
      <c r="T31" s="16">
        <v>0</v>
      </c>
      <c r="U31" s="16">
        <f t="shared" si="2"/>
        <v>0</v>
      </c>
      <c r="V31" s="16">
        <f t="shared" si="3"/>
        <v>0</v>
      </c>
      <c r="W31" s="16">
        <f t="shared" si="4"/>
        <v>-3</v>
      </c>
      <c r="X31" s="16">
        <f t="shared" si="5"/>
        <v>0</v>
      </c>
    </row>
    <row r="32" ht="28.5" customHeight="1" spans="1:24">
      <c r="A32" s="4" t="s">
        <v>149</v>
      </c>
      <c r="B32" s="4" t="s">
        <v>150</v>
      </c>
      <c r="C32" s="4" t="s">
        <v>9</v>
      </c>
      <c r="D32" s="21" t="s">
        <v>23</v>
      </c>
      <c r="E32" s="4" t="s">
        <v>87</v>
      </c>
      <c r="F32" s="4" t="s">
        <v>132</v>
      </c>
      <c r="G32" s="4" t="s">
        <v>68</v>
      </c>
      <c r="H32" s="4" t="s">
        <v>146</v>
      </c>
      <c r="I32" s="4" t="s">
        <v>70</v>
      </c>
      <c r="J32" s="4" t="s">
        <v>89</v>
      </c>
      <c r="K32" s="16">
        <v>3</v>
      </c>
      <c r="L32" s="16" t="s">
        <v>90</v>
      </c>
      <c r="M32" s="16">
        <v>1</v>
      </c>
      <c r="N32" s="16">
        <v>1</v>
      </c>
      <c r="O32" s="16">
        <f t="shared" si="0"/>
        <v>1</v>
      </c>
      <c r="P32" s="16">
        <f t="shared" si="1"/>
        <v>3</v>
      </c>
      <c r="Q32" s="16">
        <v>0</v>
      </c>
      <c r="R32" s="16">
        <v>0</v>
      </c>
      <c r="S32" s="16">
        <v>-1</v>
      </c>
      <c r="T32" s="16">
        <v>0</v>
      </c>
      <c r="U32" s="16">
        <f t="shared" si="2"/>
        <v>0</v>
      </c>
      <c r="V32" s="16">
        <f t="shared" si="3"/>
        <v>0</v>
      </c>
      <c r="W32" s="16">
        <f t="shared" si="4"/>
        <v>-3</v>
      </c>
      <c r="X32" s="16">
        <f t="shared" si="5"/>
        <v>0</v>
      </c>
    </row>
    <row r="33" ht="28.5" customHeight="1" spans="1:24">
      <c r="A33" s="4" t="s">
        <v>151</v>
      </c>
      <c r="B33" s="4" t="s">
        <v>152</v>
      </c>
      <c r="C33" s="4" t="s">
        <v>9</v>
      </c>
      <c r="D33" s="15" t="s">
        <v>24</v>
      </c>
      <c r="E33" s="4" t="s">
        <v>87</v>
      </c>
      <c r="F33" s="4" t="s">
        <v>132</v>
      </c>
      <c r="G33" s="4" t="s">
        <v>68</v>
      </c>
      <c r="H33" s="4" t="s">
        <v>153</v>
      </c>
      <c r="I33" s="4" t="s">
        <v>70</v>
      </c>
      <c r="J33" s="4" t="s">
        <v>98</v>
      </c>
      <c r="K33" s="16">
        <v>2</v>
      </c>
      <c r="L33" s="16" t="s">
        <v>90</v>
      </c>
      <c r="M33" s="16">
        <v>2</v>
      </c>
      <c r="N33" s="16">
        <v>1</v>
      </c>
      <c r="O33" s="16">
        <f t="shared" si="0"/>
        <v>2</v>
      </c>
      <c r="P33" s="16">
        <f t="shared" si="1"/>
        <v>4</v>
      </c>
      <c r="Q33" s="16">
        <v>0</v>
      </c>
      <c r="R33" s="16">
        <v>0</v>
      </c>
      <c r="S33" s="16">
        <v>-2</v>
      </c>
      <c r="T33" s="16">
        <v>0</v>
      </c>
      <c r="U33" s="16">
        <f t="shared" si="2"/>
        <v>0</v>
      </c>
      <c r="V33" s="16">
        <f t="shared" si="3"/>
        <v>0</v>
      </c>
      <c r="W33" s="16">
        <f t="shared" si="4"/>
        <v>-4</v>
      </c>
      <c r="X33" s="16">
        <f t="shared" si="5"/>
        <v>0</v>
      </c>
    </row>
    <row r="34" ht="28.5" customHeight="1" spans="1:24">
      <c r="A34" s="4" t="s">
        <v>154</v>
      </c>
      <c r="B34" s="4" t="s">
        <v>155</v>
      </c>
      <c r="C34" s="4" t="s">
        <v>9</v>
      </c>
      <c r="D34" s="17" t="s">
        <v>26</v>
      </c>
      <c r="E34" s="4" t="s">
        <v>87</v>
      </c>
      <c r="F34" s="4" t="s">
        <v>132</v>
      </c>
      <c r="G34" s="4" t="s">
        <v>68</v>
      </c>
      <c r="H34" s="4" t="s">
        <v>156</v>
      </c>
      <c r="I34" s="4" t="s">
        <v>70</v>
      </c>
      <c r="J34" s="4" t="s">
        <v>102</v>
      </c>
      <c r="K34" s="16">
        <v>1</v>
      </c>
      <c r="L34" s="16" t="s">
        <v>90</v>
      </c>
      <c r="M34" s="16">
        <v>3</v>
      </c>
      <c r="N34" s="16">
        <v>1</v>
      </c>
      <c r="O34" s="16">
        <f t="shared" si="0"/>
        <v>3</v>
      </c>
      <c r="P34" s="16">
        <f t="shared" si="1"/>
        <v>3</v>
      </c>
      <c r="Q34" s="16">
        <v>0</v>
      </c>
      <c r="R34" s="16">
        <v>0</v>
      </c>
      <c r="S34" s="16">
        <v>-3</v>
      </c>
      <c r="T34" s="16">
        <v>0</v>
      </c>
      <c r="U34" s="16">
        <f t="shared" si="2"/>
        <v>0</v>
      </c>
      <c r="V34" s="16">
        <f t="shared" si="3"/>
        <v>0</v>
      </c>
      <c r="W34" s="16">
        <f t="shared" si="4"/>
        <v>-3</v>
      </c>
      <c r="X34" s="16">
        <f t="shared" si="5"/>
        <v>0</v>
      </c>
    </row>
    <row r="35" ht="28.5" customHeight="1" spans="1:24">
      <c r="A35" s="4" t="s">
        <v>157</v>
      </c>
      <c r="B35" s="4" t="s">
        <v>158</v>
      </c>
      <c r="C35" s="4" t="s">
        <v>9</v>
      </c>
      <c r="D35" s="21" t="s">
        <v>23</v>
      </c>
      <c r="E35" s="4" t="s">
        <v>66</v>
      </c>
      <c r="F35" s="4" t="s">
        <v>159</v>
      </c>
      <c r="G35" s="4" t="s">
        <v>68</v>
      </c>
      <c r="H35" s="4" t="s">
        <v>160</v>
      </c>
      <c r="I35" s="4" t="s">
        <v>70</v>
      </c>
      <c r="J35" s="4" t="s">
        <v>71</v>
      </c>
      <c r="K35" s="16">
        <v>3</v>
      </c>
      <c r="L35" s="16" t="s">
        <v>72</v>
      </c>
      <c r="M35" s="16">
        <v>1</v>
      </c>
      <c r="N35" s="16">
        <v>1</v>
      </c>
      <c r="O35" s="16">
        <f t="shared" si="0"/>
        <v>1</v>
      </c>
      <c r="P35" s="16">
        <f t="shared" si="1"/>
        <v>3</v>
      </c>
      <c r="Q35" s="16">
        <v>0</v>
      </c>
      <c r="R35" s="16">
        <v>0</v>
      </c>
      <c r="S35" s="16">
        <v>0</v>
      </c>
      <c r="T35" s="16">
        <v>1</v>
      </c>
      <c r="U35" s="16">
        <f t="shared" si="2"/>
        <v>0</v>
      </c>
      <c r="V35" s="16">
        <f t="shared" si="3"/>
        <v>0</v>
      </c>
      <c r="W35" s="16">
        <f t="shared" si="4"/>
        <v>0</v>
      </c>
      <c r="X35" s="16">
        <f t="shared" si="5"/>
        <v>3</v>
      </c>
    </row>
    <row r="36" ht="28.5" customHeight="1" spans="1:24">
      <c r="A36" s="4" t="s">
        <v>161</v>
      </c>
      <c r="B36" s="4" t="s">
        <v>162</v>
      </c>
      <c r="C36" s="4" t="s">
        <v>9</v>
      </c>
      <c r="D36" s="21" t="s">
        <v>23</v>
      </c>
      <c r="E36" s="4" t="s">
        <v>66</v>
      </c>
      <c r="F36" s="4" t="s">
        <v>159</v>
      </c>
      <c r="G36" s="4" t="s">
        <v>68</v>
      </c>
      <c r="H36" s="4" t="s">
        <v>160</v>
      </c>
      <c r="I36" s="4" t="s">
        <v>70</v>
      </c>
      <c r="J36" s="4" t="s">
        <v>71</v>
      </c>
      <c r="K36" s="16">
        <v>3</v>
      </c>
      <c r="L36" s="16" t="s">
        <v>72</v>
      </c>
      <c r="M36" s="16">
        <v>1</v>
      </c>
      <c r="N36" s="16">
        <v>1</v>
      </c>
      <c r="O36" s="16">
        <f t="shared" si="0"/>
        <v>1</v>
      </c>
      <c r="P36" s="16">
        <f t="shared" si="1"/>
        <v>3</v>
      </c>
      <c r="Q36" s="16">
        <v>0</v>
      </c>
      <c r="R36" s="16">
        <v>0</v>
      </c>
      <c r="S36" s="16">
        <v>0</v>
      </c>
      <c r="T36" s="16">
        <v>1</v>
      </c>
      <c r="U36" s="16">
        <f t="shared" si="2"/>
        <v>0</v>
      </c>
      <c r="V36" s="16">
        <f t="shared" si="3"/>
        <v>0</v>
      </c>
      <c r="W36" s="16">
        <f t="shared" si="4"/>
        <v>0</v>
      </c>
      <c r="X36" s="16">
        <f t="shared" si="5"/>
        <v>3</v>
      </c>
    </row>
    <row r="37" ht="28.5" customHeight="1" spans="1:24">
      <c r="A37" s="4" t="s">
        <v>163</v>
      </c>
      <c r="B37" s="4" t="s">
        <v>164</v>
      </c>
      <c r="C37" s="4" t="s">
        <v>9</v>
      </c>
      <c r="D37" s="21" t="s">
        <v>23</v>
      </c>
      <c r="E37" s="4" t="s">
        <v>66</v>
      </c>
      <c r="F37" s="4" t="s">
        <v>159</v>
      </c>
      <c r="G37" s="4" t="s">
        <v>68</v>
      </c>
      <c r="H37" s="4" t="s">
        <v>160</v>
      </c>
      <c r="I37" s="4" t="s">
        <v>70</v>
      </c>
      <c r="J37" s="4" t="s">
        <v>71</v>
      </c>
      <c r="K37" s="16">
        <v>3</v>
      </c>
      <c r="L37" s="16" t="s">
        <v>72</v>
      </c>
      <c r="M37" s="16">
        <v>1</v>
      </c>
      <c r="N37" s="16">
        <v>1</v>
      </c>
      <c r="O37" s="16">
        <f t="shared" si="0"/>
        <v>1</v>
      </c>
      <c r="P37" s="16">
        <f t="shared" si="1"/>
        <v>3</v>
      </c>
      <c r="Q37" s="16">
        <v>0</v>
      </c>
      <c r="R37" s="16">
        <v>0</v>
      </c>
      <c r="S37" s="16">
        <v>0</v>
      </c>
      <c r="T37" s="16">
        <v>1</v>
      </c>
      <c r="U37" s="16">
        <f t="shared" si="2"/>
        <v>0</v>
      </c>
      <c r="V37" s="16">
        <f t="shared" si="3"/>
        <v>0</v>
      </c>
      <c r="W37" s="16">
        <f t="shared" si="4"/>
        <v>0</v>
      </c>
      <c r="X37" s="16">
        <f t="shared" si="5"/>
        <v>3</v>
      </c>
    </row>
    <row r="38" ht="28.5" customHeight="1" spans="1:24">
      <c r="A38" s="4" t="s">
        <v>165</v>
      </c>
      <c r="B38" s="4" t="s">
        <v>166</v>
      </c>
      <c r="C38" s="4" t="s">
        <v>9</v>
      </c>
      <c r="D38" s="15" t="s">
        <v>24</v>
      </c>
      <c r="E38" s="4" t="s">
        <v>66</v>
      </c>
      <c r="F38" s="4" t="s">
        <v>159</v>
      </c>
      <c r="G38" s="4" t="s">
        <v>68</v>
      </c>
      <c r="H38" s="4" t="s">
        <v>167</v>
      </c>
      <c r="I38" s="4" t="s">
        <v>70</v>
      </c>
      <c r="J38" s="4" t="s">
        <v>80</v>
      </c>
      <c r="K38" s="16">
        <v>2</v>
      </c>
      <c r="L38" s="16" t="s">
        <v>72</v>
      </c>
      <c r="M38" s="16">
        <v>2</v>
      </c>
      <c r="N38" s="16">
        <v>1</v>
      </c>
      <c r="O38" s="16">
        <f t="shared" si="0"/>
        <v>2</v>
      </c>
      <c r="P38" s="16">
        <f t="shared" si="1"/>
        <v>4</v>
      </c>
      <c r="Q38" s="16">
        <v>0</v>
      </c>
      <c r="R38" s="16">
        <v>0</v>
      </c>
      <c r="S38" s="16">
        <v>0</v>
      </c>
      <c r="T38" s="16">
        <v>2</v>
      </c>
      <c r="U38" s="16">
        <f t="shared" si="2"/>
        <v>0</v>
      </c>
      <c r="V38" s="16">
        <f t="shared" si="3"/>
        <v>0</v>
      </c>
      <c r="W38" s="16">
        <f t="shared" si="4"/>
        <v>0</v>
      </c>
      <c r="X38" s="16">
        <f t="shared" si="5"/>
        <v>4</v>
      </c>
    </row>
    <row r="39" ht="28.5" customHeight="1" spans="1:24">
      <c r="A39" s="4" t="s">
        <v>168</v>
      </c>
      <c r="B39" s="4" t="s">
        <v>169</v>
      </c>
      <c r="C39" s="4" t="s">
        <v>9</v>
      </c>
      <c r="D39" s="17" t="s">
        <v>26</v>
      </c>
      <c r="E39" s="4" t="s">
        <v>66</v>
      </c>
      <c r="F39" s="4" t="s">
        <v>159</v>
      </c>
      <c r="G39" s="4" t="s">
        <v>68</v>
      </c>
      <c r="H39" s="4" t="s">
        <v>170</v>
      </c>
      <c r="I39" s="4" t="s">
        <v>70</v>
      </c>
      <c r="J39" s="4" t="s">
        <v>84</v>
      </c>
      <c r="K39" s="16">
        <v>1</v>
      </c>
      <c r="L39" s="16" t="s">
        <v>72</v>
      </c>
      <c r="M39" s="16">
        <v>3</v>
      </c>
      <c r="N39" s="16">
        <v>1</v>
      </c>
      <c r="O39" s="16">
        <f t="shared" si="0"/>
        <v>3</v>
      </c>
      <c r="P39" s="16">
        <f t="shared" si="1"/>
        <v>3</v>
      </c>
      <c r="Q39" s="16">
        <v>0</v>
      </c>
      <c r="R39" s="16">
        <v>0</v>
      </c>
      <c r="S39" s="16">
        <v>0</v>
      </c>
      <c r="T39" s="16">
        <v>3</v>
      </c>
      <c r="U39" s="16">
        <f t="shared" si="2"/>
        <v>0</v>
      </c>
      <c r="V39" s="16">
        <f t="shared" si="3"/>
        <v>0</v>
      </c>
      <c r="W39" s="16">
        <f t="shared" si="4"/>
        <v>0</v>
      </c>
      <c r="X39" s="16">
        <f t="shared" si="5"/>
        <v>3</v>
      </c>
    </row>
    <row r="40" ht="28.5" customHeight="1" spans="1:24">
      <c r="A40" s="4" t="s">
        <v>171</v>
      </c>
      <c r="B40" s="4" t="s">
        <v>172</v>
      </c>
      <c r="C40" s="4" t="s">
        <v>9</v>
      </c>
      <c r="D40" s="21" t="s">
        <v>23</v>
      </c>
      <c r="E40" s="4" t="s">
        <v>87</v>
      </c>
      <c r="F40" s="4" t="s">
        <v>159</v>
      </c>
      <c r="G40" s="4" t="s">
        <v>68</v>
      </c>
      <c r="H40" s="4" t="s">
        <v>173</v>
      </c>
      <c r="I40" s="4" t="s">
        <v>70</v>
      </c>
      <c r="J40" s="4" t="s">
        <v>89</v>
      </c>
      <c r="K40" s="16">
        <v>3</v>
      </c>
      <c r="L40" s="16" t="s">
        <v>90</v>
      </c>
      <c r="M40" s="16">
        <v>1</v>
      </c>
      <c r="N40" s="16">
        <v>1</v>
      </c>
      <c r="O40" s="16">
        <f t="shared" si="0"/>
        <v>1</v>
      </c>
      <c r="P40" s="16">
        <f t="shared" si="1"/>
        <v>3</v>
      </c>
      <c r="Q40" s="16">
        <v>0</v>
      </c>
      <c r="R40" s="16">
        <v>0</v>
      </c>
      <c r="S40" s="16">
        <v>0</v>
      </c>
      <c r="T40" s="16">
        <v>-1</v>
      </c>
      <c r="U40" s="16">
        <f t="shared" si="2"/>
        <v>0</v>
      </c>
      <c r="V40" s="16">
        <f t="shared" si="3"/>
        <v>0</v>
      </c>
      <c r="W40" s="16">
        <f t="shared" si="4"/>
        <v>0</v>
      </c>
      <c r="X40" s="16">
        <f t="shared" si="5"/>
        <v>-3</v>
      </c>
    </row>
    <row r="41" ht="28.5" customHeight="1" spans="1:24">
      <c r="A41" s="4" t="s">
        <v>174</v>
      </c>
      <c r="B41" s="4" t="s">
        <v>175</v>
      </c>
      <c r="C41" s="4" t="s">
        <v>9</v>
      </c>
      <c r="D41" s="21" t="s">
        <v>23</v>
      </c>
      <c r="E41" s="4" t="s">
        <v>87</v>
      </c>
      <c r="F41" s="4" t="s">
        <v>159</v>
      </c>
      <c r="G41" s="4" t="s">
        <v>68</v>
      </c>
      <c r="H41" s="4" t="s">
        <v>173</v>
      </c>
      <c r="I41" s="4" t="s">
        <v>70</v>
      </c>
      <c r="J41" s="4" t="s">
        <v>89</v>
      </c>
      <c r="K41" s="16">
        <v>3</v>
      </c>
      <c r="L41" s="16" t="s">
        <v>90</v>
      </c>
      <c r="M41" s="16">
        <v>1</v>
      </c>
      <c r="N41" s="16">
        <v>1</v>
      </c>
      <c r="O41" s="16">
        <f t="shared" si="0"/>
        <v>1</v>
      </c>
      <c r="P41" s="16">
        <f t="shared" si="1"/>
        <v>3</v>
      </c>
      <c r="Q41" s="16">
        <v>0</v>
      </c>
      <c r="R41" s="16">
        <v>0</v>
      </c>
      <c r="S41" s="16">
        <v>0</v>
      </c>
      <c r="T41" s="16">
        <v>-1</v>
      </c>
      <c r="U41" s="16">
        <f t="shared" si="2"/>
        <v>0</v>
      </c>
      <c r="V41" s="16">
        <f t="shared" si="3"/>
        <v>0</v>
      </c>
      <c r="W41" s="16">
        <f t="shared" si="4"/>
        <v>0</v>
      </c>
      <c r="X41" s="16">
        <f t="shared" si="5"/>
        <v>-3</v>
      </c>
    </row>
    <row r="42" ht="28.5" customHeight="1" spans="1:24">
      <c r="A42" s="4" t="s">
        <v>176</v>
      </c>
      <c r="B42" s="4" t="s">
        <v>177</v>
      </c>
      <c r="C42" s="4" t="s">
        <v>9</v>
      </c>
      <c r="D42" s="21" t="s">
        <v>23</v>
      </c>
      <c r="E42" s="4" t="s">
        <v>87</v>
      </c>
      <c r="F42" s="4" t="s">
        <v>159</v>
      </c>
      <c r="G42" s="4" t="s">
        <v>68</v>
      </c>
      <c r="H42" s="4" t="s">
        <v>173</v>
      </c>
      <c r="I42" s="4" t="s">
        <v>70</v>
      </c>
      <c r="J42" s="4" t="s">
        <v>89</v>
      </c>
      <c r="K42" s="16">
        <v>3</v>
      </c>
      <c r="L42" s="16" t="s">
        <v>90</v>
      </c>
      <c r="M42" s="16">
        <v>1</v>
      </c>
      <c r="N42" s="16">
        <v>1</v>
      </c>
      <c r="O42" s="16">
        <f t="shared" si="0"/>
        <v>1</v>
      </c>
      <c r="P42" s="16">
        <f t="shared" si="1"/>
        <v>3</v>
      </c>
      <c r="Q42" s="16">
        <v>0</v>
      </c>
      <c r="R42" s="16">
        <v>0</v>
      </c>
      <c r="S42" s="16">
        <v>0</v>
      </c>
      <c r="T42" s="16">
        <v>-1</v>
      </c>
      <c r="U42" s="16">
        <f t="shared" si="2"/>
        <v>0</v>
      </c>
      <c r="V42" s="16">
        <f t="shared" si="3"/>
        <v>0</v>
      </c>
      <c r="W42" s="16">
        <f t="shared" si="4"/>
        <v>0</v>
      </c>
      <c r="X42" s="16">
        <f t="shared" si="5"/>
        <v>-3</v>
      </c>
    </row>
    <row r="43" ht="28.5" customHeight="1" spans="1:24">
      <c r="A43" s="4" t="s">
        <v>178</v>
      </c>
      <c r="B43" s="4" t="s">
        <v>179</v>
      </c>
      <c r="C43" s="4" t="s">
        <v>9</v>
      </c>
      <c r="D43" s="15" t="s">
        <v>24</v>
      </c>
      <c r="E43" s="4" t="s">
        <v>87</v>
      </c>
      <c r="F43" s="4" t="s">
        <v>159</v>
      </c>
      <c r="G43" s="4" t="s">
        <v>68</v>
      </c>
      <c r="H43" s="4" t="s">
        <v>180</v>
      </c>
      <c r="I43" s="4" t="s">
        <v>70</v>
      </c>
      <c r="J43" s="4" t="s">
        <v>98</v>
      </c>
      <c r="K43" s="16">
        <v>2</v>
      </c>
      <c r="L43" s="16" t="s">
        <v>90</v>
      </c>
      <c r="M43" s="16">
        <v>2</v>
      </c>
      <c r="N43" s="16">
        <v>1</v>
      </c>
      <c r="O43" s="16">
        <f t="shared" si="0"/>
        <v>2</v>
      </c>
      <c r="P43" s="16">
        <f t="shared" si="1"/>
        <v>4</v>
      </c>
      <c r="Q43" s="16">
        <v>0</v>
      </c>
      <c r="R43" s="16">
        <v>0</v>
      </c>
      <c r="S43" s="16">
        <v>0</v>
      </c>
      <c r="T43" s="16">
        <v>-2</v>
      </c>
      <c r="U43" s="16">
        <f t="shared" si="2"/>
        <v>0</v>
      </c>
      <c r="V43" s="16">
        <f t="shared" si="3"/>
        <v>0</v>
      </c>
      <c r="W43" s="16">
        <f t="shared" si="4"/>
        <v>0</v>
      </c>
      <c r="X43" s="16">
        <f t="shared" si="5"/>
        <v>-4</v>
      </c>
    </row>
    <row r="44" ht="28.5" customHeight="1" spans="1:24">
      <c r="A44" s="4" t="s">
        <v>181</v>
      </c>
      <c r="B44" s="4" t="s">
        <v>182</v>
      </c>
      <c r="C44" s="4" t="s">
        <v>9</v>
      </c>
      <c r="D44" s="17" t="s">
        <v>26</v>
      </c>
      <c r="E44" s="4" t="s">
        <v>87</v>
      </c>
      <c r="F44" s="4" t="s">
        <v>159</v>
      </c>
      <c r="G44" s="4" t="s">
        <v>68</v>
      </c>
      <c r="H44" s="4" t="s">
        <v>183</v>
      </c>
      <c r="I44" s="4" t="s">
        <v>70</v>
      </c>
      <c r="J44" s="4" t="s">
        <v>102</v>
      </c>
      <c r="K44" s="16">
        <v>1</v>
      </c>
      <c r="L44" s="16" t="s">
        <v>90</v>
      </c>
      <c r="M44" s="16">
        <v>3</v>
      </c>
      <c r="N44" s="16">
        <v>1</v>
      </c>
      <c r="O44" s="16">
        <f t="shared" si="0"/>
        <v>3</v>
      </c>
      <c r="P44" s="16">
        <f t="shared" si="1"/>
        <v>3</v>
      </c>
      <c r="Q44" s="16">
        <v>0</v>
      </c>
      <c r="R44" s="16">
        <v>0</v>
      </c>
      <c r="S44" s="16">
        <v>0</v>
      </c>
      <c r="T44" s="16">
        <v>-3</v>
      </c>
      <c r="U44" s="16">
        <f t="shared" si="2"/>
        <v>0</v>
      </c>
      <c r="V44" s="16">
        <f t="shared" si="3"/>
        <v>0</v>
      </c>
      <c r="W44" s="16">
        <f t="shared" si="4"/>
        <v>0</v>
      </c>
      <c r="X44" s="16">
        <f t="shared" si="5"/>
        <v>-3</v>
      </c>
    </row>
    <row r="45" ht="28.5" customHeight="1" spans="1:24">
      <c r="A45" s="4" t="s">
        <v>184</v>
      </c>
      <c r="B45" s="4" t="s">
        <v>185</v>
      </c>
      <c r="C45" s="4" t="s">
        <v>11</v>
      </c>
      <c r="D45" s="21" t="s">
        <v>23</v>
      </c>
      <c r="E45" s="4" t="s">
        <v>186</v>
      </c>
      <c r="F45" s="4" t="s">
        <v>187</v>
      </c>
      <c r="G45" s="4" t="s">
        <v>68</v>
      </c>
      <c r="H45" s="4" t="s">
        <v>188</v>
      </c>
      <c r="I45" s="4" t="s">
        <v>70</v>
      </c>
      <c r="J45" s="4" t="s">
        <v>189</v>
      </c>
      <c r="K45" s="16">
        <v>2</v>
      </c>
      <c r="L45" s="16" t="s">
        <v>72</v>
      </c>
      <c r="M45" s="16">
        <v>1</v>
      </c>
      <c r="N45" s="16">
        <v>1</v>
      </c>
      <c r="O45" s="16">
        <f t="shared" si="0"/>
        <v>1</v>
      </c>
      <c r="P45" s="16">
        <f t="shared" si="1"/>
        <v>2</v>
      </c>
      <c r="Q45" s="16">
        <v>0</v>
      </c>
      <c r="R45" s="16">
        <v>0</v>
      </c>
      <c r="S45" s="16">
        <v>0</v>
      </c>
      <c r="T45" s="16">
        <v>0</v>
      </c>
      <c r="U45" s="16">
        <f t="shared" si="2"/>
        <v>0</v>
      </c>
      <c r="V45" s="16">
        <f t="shared" si="3"/>
        <v>0</v>
      </c>
      <c r="W45" s="16">
        <f t="shared" si="4"/>
        <v>0</v>
      </c>
      <c r="X45" s="16">
        <f t="shared" si="5"/>
        <v>0</v>
      </c>
    </row>
    <row r="46" ht="28.5" customHeight="1" spans="1:24">
      <c r="A46" s="4" t="s">
        <v>190</v>
      </c>
      <c r="B46" s="4" t="s">
        <v>191</v>
      </c>
      <c r="C46" s="4" t="s">
        <v>11</v>
      </c>
      <c r="D46" s="21" t="s">
        <v>23</v>
      </c>
      <c r="E46" s="4" t="s">
        <v>192</v>
      </c>
      <c r="F46" s="4" t="s">
        <v>187</v>
      </c>
      <c r="G46" s="4" t="s">
        <v>68</v>
      </c>
      <c r="H46" s="4" t="s">
        <v>193</v>
      </c>
      <c r="I46" s="4" t="s">
        <v>70</v>
      </c>
      <c r="J46" s="4" t="s">
        <v>189</v>
      </c>
      <c r="K46" s="16">
        <v>2</v>
      </c>
      <c r="L46" s="16" t="s">
        <v>90</v>
      </c>
      <c r="M46" s="16">
        <v>1</v>
      </c>
      <c r="N46" s="16">
        <v>1</v>
      </c>
      <c r="O46" s="16">
        <f t="shared" si="0"/>
        <v>1</v>
      </c>
      <c r="P46" s="16">
        <f t="shared" si="1"/>
        <v>2</v>
      </c>
      <c r="Q46" s="16">
        <v>0</v>
      </c>
      <c r="R46" s="16">
        <v>0</v>
      </c>
      <c r="S46" s="16">
        <v>0</v>
      </c>
      <c r="T46" s="16">
        <v>0</v>
      </c>
      <c r="U46" s="16">
        <f t="shared" si="2"/>
        <v>0</v>
      </c>
      <c r="V46" s="16">
        <f t="shared" si="3"/>
        <v>0</v>
      </c>
      <c r="W46" s="16">
        <f t="shared" si="4"/>
        <v>0</v>
      </c>
      <c r="X46" s="16">
        <f t="shared" si="5"/>
        <v>0</v>
      </c>
    </row>
    <row r="47" ht="28.5" customHeight="1" spans="1:24">
      <c r="A47" s="4" t="s">
        <v>194</v>
      </c>
      <c r="B47" s="4" t="s">
        <v>195</v>
      </c>
      <c r="C47" s="4" t="s">
        <v>11</v>
      </c>
      <c r="D47" s="21" t="s">
        <v>23</v>
      </c>
      <c r="E47" s="4" t="s">
        <v>186</v>
      </c>
      <c r="F47" s="4" t="s">
        <v>196</v>
      </c>
      <c r="G47" s="4" t="s">
        <v>68</v>
      </c>
      <c r="H47" s="4" t="s">
        <v>197</v>
      </c>
      <c r="I47" s="4" t="s">
        <v>70</v>
      </c>
      <c r="J47" s="4" t="s">
        <v>189</v>
      </c>
      <c r="K47" s="16">
        <v>2</v>
      </c>
      <c r="L47" s="16" t="s">
        <v>72</v>
      </c>
      <c r="M47" s="16">
        <v>1</v>
      </c>
      <c r="N47" s="16">
        <v>1</v>
      </c>
      <c r="O47" s="16">
        <f t="shared" si="0"/>
        <v>1</v>
      </c>
      <c r="P47" s="16">
        <f t="shared" si="1"/>
        <v>2</v>
      </c>
      <c r="Q47" s="16">
        <v>0</v>
      </c>
      <c r="R47" s="16">
        <v>0</v>
      </c>
      <c r="S47" s="16">
        <v>0</v>
      </c>
      <c r="T47" s="16">
        <v>0</v>
      </c>
      <c r="U47" s="16">
        <f t="shared" si="2"/>
        <v>0</v>
      </c>
      <c r="V47" s="16">
        <f t="shared" si="3"/>
        <v>0</v>
      </c>
      <c r="W47" s="16">
        <f t="shared" si="4"/>
        <v>0</v>
      </c>
      <c r="X47" s="16">
        <f t="shared" si="5"/>
        <v>0</v>
      </c>
    </row>
    <row r="48" ht="28.5" customHeight="1" spans="1:24">
      <c r="A48" s="4" t="s">
        <v>198</v>
      </c>
      <c r="B48" s="4" t="s">
        <v>199</v>
      </c>
      <c r="C48" s="4" t="s">
        <v>11</v>
      </c>
      <c r="D48" s="21" t="s">
        <v>23</v>
      </c>
      <c r="E48" s="4" t="s">
        <v>192</v>
      </c>
      <c r="F48" s="4" t="s">
        <v>196</v>
      </c>
      <c r="G48" s="4" t="s">
        <v>68</v>
      </c>
      <c r="H48" s="4" t="s">
        <v>200</v>
      </c>
      <c r="I48" s="4" t="s">
        <v>70</v>
      </c>
      <c r="J48" s="4" t="s">
        <v>189</v>
      </c>
      <c r="K48" s="16">
        <v>2</v>
      </c>
      <c r="L48" s="16" t="s">
        <v>90</v>
      </c>
      <c r="M48" s="16">
        <v>1</v>
      </c>
      <c r="N48" s="16">
        <v>1</v>
      </c>
      <c r="O48" s="16">
        <f t="shared" si="0"/>
        <v>1</v>
      </c>
      <c r="P48" s="16">
        <f t="shared" si="1"/>
        <v>2</v>
      </c>
      <c r="Q48" s="16">
        <v>0</v>
      </c>
      <c r="R48" s="16">
        <v>0</v>
      </c>
      <c r="S48" s="16">
        <v>0</v>
      </c>
      <c r="T48" s="16">
        <v>0</v>
      </c>
      <c r="U48" s="16">
        <f t="shared" si="2"/>
        <v>0</v>
      </c>
      <c r="V48" s="16">
        <f t="shared" si="3"/>
        <v>0</v>
      </c>
      <c r="W48" s="16">
        <f t="shared" si="4"/>
        <v>0</v>
      </c>
      <c r="X48" s="16">
        <f t="shared" si="5"/>
        <v>0</v>
      </c>
    </row>
    <row r="49" ht="28.5" customHeight="1" spans="1:24">
      <c r="A49" s="4" t="s">
        <v>201</v>
      </c>
      <c r="B49" s="4" t="s">
        <v>202</v>
      </c>
      <c r="C49" s="4" t="s">
        <v>11</v>
      </c>
      <c r="D49" s="21" t="s">
        <v>23</v>
      </c>
      <c r="E49" s="4" t="s">
        <v>186</v>
      </c>
      <c r="F49" s="4" t="s">
        <v>203</v>
      </c>
      <c r="G49" s="4" t="s">
        <v>68</v>
      </c>
      <c r="H49" s="4" t="s">
        <v>204</v>
      </c>
      <c r="I49" s="4" t="s">
        <v>70</v>
      </c>
      <c r="J49" s="4" t="s">
        <v>189</v>
      </c>
      <c r="K49" s="16">
        <v>2</v>
      </c>
      <c r="L49" s="16" t="s">
        <v>72</v>
      </c>
      <c r="M49" s="16">
        <v>1</v>
      </c>
      <c r="N49" s="16">
        <v>1</v>
      </c>
      <c r="O49" s="16">
        <f t="shared" si="0"/>
        <v>1</v>
      </c>
      <c r="P49" s="16">
        <f t="shared" si="1"/>
        <v>2</v>
      </c>
      <c r="Q49" s="16">
        <v>0</v>
      </c>
      <c r="R49" s="16">
        <v>0</v>
      </c>
      <c r="S49" s="16">
        <v>0</v>
      </c>
      <c r="T49" s="16">
        <v>0</v>
      </c>
      <c r="U49" s="16">
        <f t="shared" si="2"/>
        <v>0</v>
      </c>
      <c r="V49" s="16">
        <f t="shared" si="3"/>
        <v>0</v>
      </c>
      <c r="W49" s="16">
        <f t="shared" si="4"/>
        <v>0</v>
      </c>
      <c r="X49" s="16">
        <f t="shared" si="5"/>
        <v>0</v>
      </c>
    </row>
    <row r="50" ht="28.5" customHeight="1" spans="1:24">
      <c r="A50" s="4" t="s">
        <v>205</v>
      </c>
      <c r="B50" s="4" t="s">
        <v>206</v>
      </c>
      <c r="C50" s="4" t="s">
        <v>11</v>
      </c>
      <c r="D50" s="21" t="s">
        <v>23</v>
      </c>
      <c r="E50" s="4" t="s">
        <v>192</v>
      </c>
      <c r="F50" s="4" t="s">
        <v>203</v>
      </c>
      <c r="G50" s="4" t="s">
        <v>68</v>
      </c>
      <c r="H50" s="4" t="s">
        <v>207</v>
      </c>
      <c r="I50" s="4" t="s">
        <v>70</v>
      </c>
      <c r="J50" s="4" t="s">
        <v>189</v>
      </c>
      <c r="K50" s="16">
        <v>2</v>
      </c>
      <c r="L50" s="16" t="s">
        <v>90</v>
      </c>
      <c r="M50" s="16">
        <v>1</v>
      </c>
      <c r="N50" s="16">
        <v>1</v>
      </c>
      <c r="O50" s="16">
        <f t="shared" si="0"/>
        <v>1</v>
      </c>
      <c r="P50" s="16">
        <f t="shared" si="1"/>
        <v>2</v>
      </c>
      <c r="Q50" s="16">
        <v>0</v>
      </c>
      <c r="R50" s="16">
        <v>0</v>
      </c>
      <c r="S50" s="16">
        <v>0</v>
      </c>
      <c r="T50" s="16">
        <v>0</v>
      </c>
      <c r="U50" s="16">
        <f t="shared" si="2"/>
        <v>0</v>
      </c>
      <c r="V50" s="16">
        <f t="shared" si="3"/>
        <v>0</v>
      </c>
      <c r="W50" s="16">
        <f t="shared" si="4"/>
        <v>0</v>
      </c>
      <c r="X50" s="16">
        <f t="shared" si="5"/>
        <v>0</v>
      </c>
    </row>
    <row r="51" ht="28.5" customHeight="1" spans="1:24">
      <c r="A51" s="4" t="s">
        <v>208</v>
      </c>
      <c r="B51" s="4" t="s">
        <v>209</v>
      </c>
      <c r="C51" s="4" t="s">
        <v>11</v>
      </c>
      <c r="D51" s="15" t="s">
        <v>24</v>
      </c>
      <c r="E51" s="4" t="s">
        <v>210</v>
      </c>
      <c r="F51" s="4" t="s">
        <v>211</v>
      </c>
      <c r="G51" s="4" t="s">
        <v>68</v>
      </c>
      <c r="H51" s="4" t="s">
        <v>212</v>
      </c>
      <c r="I51" s="4" t="s">
        <v>70</v>
      </c>
      <c r="J51" s="4" t="s">
        <v>213</v>
      </c>
      <c r="K51" s="16">
        <v>2</v>
      </c>
      <c r="L51" s="16" t="s">
        <v>214</v>
      </c>
      <c r="M51" s="16">
        <v>2</v>
      </c>
      <c r="N51" s="16">
        <v>1</v>
      </c>
      <c r="O51" s="16">
        <f t="shared" si="0"/>
        <v>2</v>
      </c>
      <c r="P51" s="16">
        <f t="shared" si="1"/>
        <v>4</v>
      </c>
      <c r="Q51" s="16">
        <v>0</v>
      </c>
      <c r="R51" s="16">
        <v>1</v>
      </c>
      <c r="S51" s="16">
        <v>0</v>
      </c>
      <c r="T51" s="16">
        <v>-1</v>
      </c>
      <c r="U51" s="16">
        <f t="shared" si="2"/>
        <v>0</v>
      </c>
      <c r="V51" s="16">
        <f t="shared" si="3"/>
        <v>2</v>
      </c>
      <c r="W51" s="16">
        <f t="shared" si="4"/>
        <v>0</v>
      </c>
      <c r="X51" s="16">
        <f t="shared" si="5"/>
        <v>-2</v>
      </c>
    </row>
    <row r="52" ht="28.5" customHeight="1" spans="1:24">
      <c r="A52" s="4" t="s">
        <v>215</v>
      </c>
      <c r="B52" s="4" t="s">
        <v>216</v>
      </c>
      <c r="C52" s="4" t="s">
        <v>11</v>
      </c>
      <c r="D52" s="15" t="s">
        <v>24</v>
      </c>
      <c r="E52" s="4" t="s">
        <v>210</v>
      </c>
      <c r="F52" s="4" t="s">
        <v>211</v>
      </c>
      <c r="G52" s="4" t="s">
        <v>68</v>
      </c>
      <c r="H52" s="4" t="s">
        <v>217</v>
      </c>
      <c r="I52" s="4" t="s">
        <v>70</v>
      </c>
      <c r="J52" s="4" t="s">
        <v>213</v>
      </c>
      <c r="K52" s="16">
        <v>2</v>
      </c>
      <c r="L52" s="16" t="s">
        <v>214</v>
      </c>
      <c r="M52" s="16">
        <v>2</v>
      </c>
      <c r="N52" s="16">
        <v>1</v>
      </c>
      <c r="O52" s="16">
        <f t="shared" si="0"/>
        <v>2</v>
      </c>
      <c r="P52" s="16">
        <f t="shared" si="1"/>
        <v>4</v>
      </c>
      <c r="Q52" s="16">
        <v>0</v>
      </c>
      <c r="R52" s="16">
        <v>-1</v>
      </c>
      <c r="S52" s="16">
        <v>0</v>
      </c>
      <c r="T52" s="16">
        <v>1</v>
      </c>
      <c r="U52" s="16">
        <f t="shared" si="2"/>
        <v>0</v>
      </c>
      <c r="V52" s="16">
        <f t="shared" si="3"/>
        <v>-2</v>
      </c>
      <c r="W52" s="16">
        <f t="shared" si="4"/>
        <v>0</v>
      </c>
      <c r="X52" s="16">
        <f t="shared" si="5"/>
        <v>2</v>
      </c>
    </row>
    <row r="53" ht="28.5" customHeight="1" spans="1:24">
      <c r="A53" s="4" t="s">
        <v>218</v>
      </c>
      <c r="B53" s="4" t="s">
        <v>219</v>
      </c>
      <c r="C53" s="4" t="s">
        <v>11</v>
      </c>
      <c r="D53" s="21" t="s">
        <v>23</v>
      </c>
      <c r="E53" s="4" t="s">
        <v>186</v>
      </c>
      <c r="F53" s="4" t="s">
        <v>220</v>
      </c>
      <c r="G53" s="4" t="s">
        <v>68</v>
      </c>
      <c r="H53" s="4" t="s">
        <v>221</v>
      </c>
      <c r="I53" s="4" t="s">
        <v>70</v>
      </c>
      <c r="J53" s="4" t="s">
        <v>189</v>
      </c>
      <c r="K53" s="16">
        <v>2</v>
      </c>
      <c r="L53" s="16" t="s">
        <v>72</v>
      </c>
      <c r="M53" s="16">
        <v>1</v>
      </c>
      <c r="N53" s="16">
        <v>1</v>
      </c>
      <c r="O53" s="16">
        <f t="shared" si="0"/>
        <v>1</v>
      </c>
      <c r="P53" s="16">
        <f t="shared" si="1"/>
        <v>2</v>
      </c>
      <c r="Q53" s="16">
        <v>0</v>
      </c>
      <c r="R53" s="16">
        <v>0</v>
      </c>
      <c r="S53" s="16">
        <v>0</v>
      </c>
      <c r="T53" s="16">
        <v>0</v>
      </c>
      <c r="U53" s="16">
        <f t="shared" si="2"/>
        <v>0</v>
      </c>
      <c r="V53" s="16">
        <f t="shared" si="3"/>
        <v>0</v>
      </c>
      <c r="W53" s="16">
        <f t="shared" si="4"/>
        <v>0</v>
      </c>
      <c r="X53" s="16">
        <f t="shared" si="5"/>
        <v>0</v>
      </c>
    </row>
    <row r="54" ht="28.5" customHeight="1" spans="1:24">
      <c r="A54" s="4" t="s">
        <v>222</v>
      </c>
      <c r="B54" s="4" t="s">
        <v>223</v>
      </c>
      <c r="C54" s="4" t="s">
        <v>11</v>
      </c>
      <c r="D54" s="21" t="s">
        <v>23</v>
      </c>
      <c r="E54" s="4" t="s">
        <v>192</v>
      </c>
      <c r="F54" s="4" t="s">
        <v>220</v>
      </c>
      <c r="G54" s="4" t="s">
        <v>68</v>
      </c>
      <c r="H54" s="4" t="s">
        <v>224</v>
      </c>
      <c r="I54" s="4" t="s">
        <v>70</v>
      </c>
      <c r="J54" s="4" t="s">
        <v>189</v>
      </c>
      <c r="K54" s="16">
        <v>2</v>
      </c>
      <c r="L54" s="16" t="s">
        <v>90</v>
      </c>
      <c r="M54" s="16">
        <v>1</v>
      </c>
      <c r="N54" s="16">
        <v>1</v>
      </c>
      <c r="O54" s="16">
        <f t="shared" si="0"/>
        <v>1</v>
      </c>
      <c r="P54" s="16">
        <f t="shared" si="1"/>
        <v>2</v>
      </c>
      <c r="Q54" s="16">
        <v>0</v>
      </c>
      <c r="R54" s="16">
        <v>0</v>
      </c>
      <c r="S54" s="16">
        <v>0</v>
      </c>
      <c r="T54" s="16">
        <v>0</v>
      </c>
      <c r="U54" s="16">
        <f t="shared" si="2"/>
        <v>0</v>
      </c>
      <c r="V54" s="16">
        <f t="shared" si="3"/>
        <v>0</v>
      </c>
      <c r="W54" s="16">
        <f t="shared" si="4"/>
        <v>0</v>
      </c>
      <c r="X54" s="16">
        <f t="shared" si="5"/>
        <v>0</v>
      </c>
    </row>
    <row r="55" ht="28.5" customHeight="1" spans="1:24">
      <c r="A55" s="4" t="s">
        <v>225</v>
      </c>
      <c r="B55" s="4" t="s">
        <v>226</v>
      </c>
      <c r="C55" s="4" t="s">
        <v>11</v>
      </c>
      <c r="D55" s="15" t="s">
        <v>24</v>
      </c>
      <c r="E55" s="4" t="s">
        <v>210</v>
      </c>
      <c r="F55" s="4" t="s">
        <v>227</v>
      </c>
      <c r="G55" s="4" t="s">
        <v>68</v>
      </c>
      <c r="H55" s="4" t="s">
        <v>228</v>
      </c>
      <c r="I55" s="4" t="s">
        <v>70</v>
      </c>
      <c r="J55" s="4" t="s">
        <v>213</v>
      </c>
      <c r="K55" s="16">
        <v>2</v>
      </c>
      <c r="L55" s="16" t="s">
        <v>214</v>
      </c>
      <c r="M55" s="16">
        <v>2</v>
      </c>
      <c r="N55" s="16">
        <v>1</v>
      </c>
      <c r="O55" s="16">
        <f t="shared" si="0"/>
        <v>2</v>
      </c>
      <c r="P55" s="16">
        <f t="shared" si="1"/>
        <v>4</v>
      </c>
      <c r="Q55" s="16">
        <v>-1</v>
      </c>
      <c r="R55" s="16">
        <v>0</v>
      </c>
      <c r="S55" s="16">
        <v>0</v>
      </c>
      <c r="T55" s="16">
        <v>1</v>
      </c>
      <c r="U55" s="16">
        <f t="shared" si="2"/>
        <v>-2</v>
      </c>
      <c r="V55" s="16">
        <f t="shared" si="3"/>
        <v>0</v>
      </c>
      <c r="W55" s="16">
        <f t="shared" si="4"/>
        <v>0</v>
      </c>
      <c r="X55" s="16">
        <f t="shared" si="5"/>
        <v>2</v>
      </c>
    </row>
    <row r="56" ht="28.5" customHeight="1" spans="1:24">
      <c r="A56" s="4" t="s">
        <v>229</v>
      </c>
      <c r="B56" s="4" t="s">
        <v>230</v>
      </c>
      <c r="C56" s="4" t="s">
        <v>11</v>
      </c>
      <c r="D56" s="15" t="s">
        <v>24</v>
      </c>
      <c r="E56" s="4" t="s">
        <v>210</v>
      </c>
      <c r="F56" s="4" t="s">
        <v>227</v>
      </c>
      <c r="G56" s="4" t="s">
        <v>68</v>
      </c>
      <c r="H56" s="4" t="s">
        <v>231</v>
      </c>
      <c r="I56" s="4" t="s">
        <v>70</v>
      </c>
      <c r="J56" s="4" t="s">
        <v>213</v>
      </c>
      <c r="K56" s="16">
        <v>2</v>
      </c>
      <c r="L56" s="16" t="s">
        <v>214</v>
      </c>
      <c r="M56" s="16">
        <v>2</v>
      </c>
      <c r="N56" s="16">
        <v>1</v>
      </c>
      <c r="O56" s="16">
        <f t="shared" si="0"/>
        <v>2</v>
      </c>
      <c r="P56" s="16">
        <f t="shared" si="1"/>
        <v>4</v>
      </c>
      <c r="Q56" s="16">
        <v>1</v>
      </c>
      <c r="R56" s="16">
        <v>0</v>
      </c>
      <c r="S56" s="16">
        <v>0</v>
      </c>
      <c r="T56" s="16">
        <v>-1</v>
      </c>
      <c r="U56" s="16">
        <f t="shared" si="2"/>
        <v>2</v>
      </c>
      <c r="V56" s="16">
        <f t="shared" si="3"/>
        <v>0</v>
      </c>
      <c r="W56" s="16">
        <f t="shared" si="4"/>
        <v>0</v>
      </c>
      <c r="X56" s="16">
        <f t="shared" si="5"/>
        <v>-2</v>
      </c>
    </row>
    <row r="57" ht="28.5" customHeight="1" spans="1:24">
      <c r="A57" s="4" t="s">
        <v>232</v>
      </c>
      <c r="B57" s="4" t="s">
        <v>233</v>
      </c>
      <c r="C57" s="4" t="s">
        <v>13</v>
      </c>
      <c r="D57" s="18" t="s">
        <v>28</v>
      </c>
      <c r="E57" s="4" t="s">
        <v>234</v>
      </c>
      <c r="F57" s="4" t="s">
        <v>67</v>
      </c>
      <c r="G57" s="4" t="s">
        <v>68</v>
      </c>
      <c r="H57" s="4" t="s">
        <v>235</v>
      </c>
      <c r="I57" s="4" t="s">
        <v>236</v>
      </c>
      <c r="J57" s="4" t="s">
        <v>237</v>
      </c>
      <c r="K57" s="16">
        <v>2</v>
      </c>
      <c r="L57" s="16" t="s">
        <v>72</v>
      </c>
      <c r="M57" s="16">
        <v>1</v>
      </c>
      <c r="N57" s="16">
        <v>2</v>
      </c>
      <c r="O57" s="16">
        <f t="shared" si="0"/>
        <v>2</v>
      </c>
      <c r="P57" s="16">
        <f t="shared" si="1"/>
        <v>4</v>
      </c>
      <c r="Q57" s="16">
        <v>1</v>
      </c>
      <c r="R57" s="16">
        <v>0</v>
      </c>
      <c r="S57" s="16">
        <v>0</v>
      </c>
      <c r="T57" s="16">
        <v>0</v>
      </c>
      <c r="U57" s="16">
        <f t="shared" si="2"/>
        <v>4</v>
      </c>
      <c r="V57" s="16">
        <f t="shared" si="3"/>
        <v>0</v>
      </c>
      <c r="W57" s="16">
        <f t="shared" si="4"/>
        <v>0</v>
      </c>
      <c r="X57" s="16">
        <f t="shared" si="5"/>
        <v>0</v>
      </c>
    </row>
    <row r="58" ht="28.5" customHeight="1" spans="1:24">
      <c r="A58" s="4" t="s">
        <v>238</v>
      </c>
      <c r="B58" s="4" t="s">
        <v>239</v>
      </c>
      <c r="C58" s="4" t="s">
        <v>13</v>
      </c>
      <c r="D58" s="18" t="s">
        <v>28</v>
      </c>
      <c r="E58" s="4" t="s">
        <v>240</v>
      </c>
      <c r="F58" s="4" t="s">
        <v>67</v>
      </c>
      <c r="G58" s="4" t="s">
        <v>68</v>
      </c>
      <c r="H58" s="4" t="s">
        <v>241</v>
      </c>
      <c r="I58" s="4" t="s">
        <v>236</v>
      </c>
      <c r="J58" s="4" t="s">
        <v>242</v>
      </c>
      <c r="K58" s="16">
        <v>2</v>
      </c>
      <c r="L58" s="16" t="s">
        <v>90</v>
      </c>
      <c r="M58" s="16">
        <v>1</v>
      </c>
      <c r="N58" s="16">
        <v>2</v>
      </c>
      <c r="O58" s="16">
        <f t="shared" si="0"/>
        <v>2</v>
      </c>
      <c r="P58" s="16">
        <f t="shared" si="1"/>
        <v>4</v>
      </c>
      <c r="Q58" s="16">
        <v>-1</v>
      </c>
      <c r="R58" s="16">
        <v>0</v>
      </c>
      <c r="S58" s="16">
        <v>0</v>
      </c>
      <c r="T58" s="16">
        <v>0</v>
      </c>
      <c r="U58" s="16">
        <f t="shared" si="2"/>
        <v>-4</v>
      </c>
      <c r="V58" s="16">
        <f t="shared" si="3"/>
        <v>0</v>
      </c>
      <c r="W58" s="16">
        <f t="shared" si="4"/>
        <v>0</v>
      </c>
      <c r="X58" s="16">
        <f t="shared" si="5"/>
        <v>0</v>
      </c>
    </row>
    <row r="59" ht="28.5" customHeight="1" spans="1:24">
      <c r="A59" s="4" t="s">
        <v>243</v>
      </c>
      <c r="B59" s="4" t="s">
        <v>244</v>
      </c>
      <c r="C59" s="4" t="s">
        <v>13</v>
      </c>
      <c r="D59" s="18" t="s">
        <v>28</v>
      </c>
      <c r="E59" s="4" t="s">
        <v>234</v>
      </c>
      <c r="F59" s="4" t="s">
        <v>105</v>
      </c>
      <c r="G59" s="4" t="s">
        <v>68</v>
      </c>
      <c r="H59" s="4" t="s">
        <v>245</v>
      </c>
      <c r="I59" s="4" t="s">
        <v>236</v>
      </c>
      <c r="J59" s="4" t="s">
        <v>237</v>
      </c>
      <c r="K59" s="16">
        <v>2</v>
      </c>
      <c r="L59" s="16" t="s">
        <v>72</v>
      </c>
      <c r="M59" s="16">
        <v>1</v>
      </c>
      <c r="N59" s="16">
        <v>2</v>
      </c>
      <c r="O59" s="16">
        <f t="shared" si="0"/>
        <v>2</v>
      </c>
      <c r="P59" s="16">
        <f t="shared" si="1"/>
        <v>4</v>
      </c>
      <c r="Q59" s="16">
        <v>0</v>
      </c>
      <c r="R59" s="16">
        <v>1</v>
      </c>
      <c r="S59" s="16">
        <v>0</v>
      </c>
      <c r="T59" s="16">
        <v>0</v>
      </c>
      <c r="U59" s="16">
        <f t="shared" si="2"/>
        <v>0</v>
      </c>
      <c r="V59" s="16">
        <f t="shared" si="3"/>
        <v>4</v>
      </c>
      <c r="W59" s="16">
        <f t="shared" si="4"/>
        <v>0</v>
      </c>
      <c r="X59" s="16">
        <f t="shared" si="5"/>
        <v>0</v>
      </c>
    </row>
    <row r="60" ht="28.5" customHeight="1" spans="1:24">
      <c r="A60" s="4" t="s">
        <v>246</v>
      </c>
      <c r="B60" s="4" t="s">
        <v>247</v>
      </c>
      <c r="C60" s="4" t="s">
        <v>13</v>
      </c>
      <c r="D60" s="18" t="s">
        <v>28</v>
      </c>
      <c r="E60" s="4" t="s">
        <v>240</v>
      </c>
      <c r="F60" s="4" t="s">
        <v>105</v>
      </c>
      <c r="G60" s="4" t="s">
        <v>68</v>
      </c>
      <c r="H60" s="4" t="s">
        <v>248</v>
      </c>
      <c r="I60" s="4" t="s">
        <v>236</v>
      </c>
      <c r="J60" s="4" t="s">
        <v>242</v>
      </c>
      <c r="K60" s="16">
        <v>2</v>
      </c>
      <c r="L60" s="16" t="s">
        <v>90</v>
      </c>
      <c r="M60" s="16">
        <v>1</v>
      </c>
      <c r="N60" s="16">
        <v>2</v>
      </c>
      <c r="O60" s="16">
        <f t="shared" si="0"/>
        <v>2</v>
      </c>
      <c r="P60" s="16">
        <f t="shared" si="1"/>
        <v>4</v>
      </c>
      <c r="Q60" s="16">
        <v>0</v>
      </c>
      <c r="R60" s="16">
        <v>-1</v>
      </c>
      <c r="S60" s="16">
        <v>0</v>
      </c>
      <c r="T60" s="16">
        <v>0</v>
      </c>
      <c r="U60" s="16">
        <f t="shared" si="2"/>
        <v>0</v>
      </c>
      <c r="V60" s="16">
        <f t="shared" si="3"/>
        <v>-4</v>
      </c>
      <c r="W60" s="16">
        <f t="shared" si="4"/>
        <v>0</v>
      </c>
      <c r="X60" s="16">
        <f t="shared" si="5"/>
        <v>0</v>
      </c>
    </row>
    <row r="61" ht="28.5" customHeight="1" spans="1:24">
      <c r="A61" s="4" t="s">
        <v>249</v>
      </c>
      <c r="B61" s="4" t="s">
        <v>250</v>
      </c>
      <c r="C61" s="4" t="s">
        <v>13</v>
      </c>
      <c r="D61" s="18" t="s">
        <v>28</v>
      </c>
      <c r="E61" s="4" t="s">
        <v>234</v>
      </c>
      <c r="F61" s="4" t="s">
        <v>132</v>
      </c>
      <c r="G61" s="4" t="s">
        <v>68</v>
      </c>
      <c r="H61" s="4" t="s">
        <v>251</v>
      </c>
      <c r="I61" s="4" t="s">
        <v>236</v>
      </c>
      <c r="J61" s="4" t="s">
        <v>237</v>
      </c>
      <c r="K61" s="16">
        <v>2</v>
      </c>
      <c r="L61" s="16" t="s">
        <v>72</v>
      </c>
      <c r="M61" s="16">
        <v>1</v>
      </c>
      <c r="N61" s="16">
        <v>2</v>
      </c>
      <c r="O61" s="16">
        <f t="shared" si="0"/>
        <v>2</v>
      </c>
      <c r="P61" s="16">
        <f t="shared" si="1"/>
        <v>4</v>
      </c>
      <c r="Q61" s="16">
        <v>0</v>
      </c>
      <c r="R61" s="16">
        <v>0</v>
      </c>
      <c r="S61" s="16">
        <v>1</v>
      </c>
      <c r="T61" s="16">
        <v>0</v>
      </c>
      <c r="U61" s="16">
        <f t="shared" si="2"/>
        <v>0</v>
      </c>
      <c r="V61" s="16">
        <f t="shared" si="3"/>
        <v>0</v>
      </c>
      <c r="W61" s="16">
        <f t="shared" si="4"/>
        <v>4</v>
      </c>
      <c r="X61" s="16">
        <f t="shared" si="5"/>
        <v>0</v>
      </c>
    </row>
    <row r="62" ht="28.5" customHeight="1" spans="1:24">
      <c r="A62" s="4" t="s">
        <v>252</v>
      </c>
      <c r="B62" s="4" t="s">
        <v>253</v>
      </c>
      <c r="C62" s="4" t="s">
        <v>13</v>
      </c>
      <c r="D62" s="18" t="s">
        <v>28</v>
      </c>
      <c r="E62" s="4" t="s">
        <v>240</v>
      </c>
      <c r="F62" s="4" t="s">
        <v>132</v>
      </c>
      <c r="G62" s="4" t="s">
        <v>68</v>
      </c>
      <c r="H62" s="4" t="s">
        <v>254</v>
      </c>
      <c r="I62" s="4" t="s">
        <v>236</v>
      </c>
      <c r="J62" s="4" t="s">
        <v>242</v>
      </c>
      <c r="K62" s="16">
        <v>2</v>
      </c>
      <c r="L62" s="16" t="s">
        <v>90</v>
      </c>
      <c r="M62" s="16">
        <v>1</v>
      </c>
      <c r="N62" s="16">
        <v>2</v>
      </c>
      <c r="O62" s="16">
        <f t="shared" si="0"/>
        <v>2</v>
      </c>
      <c r="P62" s="16">
        <f t="shared" si="1"/>
        <v>4</v>
      </c>
      <c r="Q62" s="16">
        <v>0</v>
      </c>
      <c r="R62" s="16">
        <v>0</v>
      </c>
      <c r="S62" s="16">
        <v>-1</v>
      </c>
      <c r="T62" s="16">
        <v>0</v>
      </c>
      <c r="U62" s="16">
        <f t="shared" si="2"/>
        <v>0</v>
      </c>
      <c r="V62" s="16">
        <f t="shared" si="3"/>
        <v>0</v>
      </c>
      <c r="W62" s="16">
        <f t="shared" si="4"/>
        <v>-4</v>
      </c>
      <c r="X62" s="16">
        <f t="shared" si="5"/>
        <v>0</v>
      </c>
    </row>
    <row r="63" ht="28.5" customHeight="1" spans="1:24">
      <c r="A63" s="4" t="s">
        <v>255</v>
      </c>
      <c r="B63" s="4" t="s">
        <v>256</v>
      </c>
      <c r="C63" s="4" t="s">
        <v>13</v>
      </c>
      <c r="D63" s="18" t="s">
        <v>28</v>
      </c>
      <c r="E63" s="4" t="s">
        <v>234</v>
      </c>
      <c r="F63" s="4" t="s">
        <v>159</v>
      </c>
      <c r="G63" s="4" t="s">
        <v>68</v>
      </c>
      <c r="H63" s="4" t="s">
        <v>257</v>
      </c>
      <c r="I63" s="4" t="s">
        <v>236</v>
      </c>
      <c r="J63" s="4" t="s">
        <v>237</v>
      </c>
      <c r="K63" s="16">
        <v>2</v>
      </c>
      <c r="L63" s="16" t="s">
        <v>72</v>
      </c>
      <c r="M63" s="16">
        <v>1</v>
      </c>
      <c r="N63" s="16">
        <v>2</v>
      </c>
      <c r="O63" s="16">
        <f t="shared" si="0"/>
        <v>2</v>
      </c>
      <c r="P63" s="16">
        <f t="shared" si="1"/>
        <v>4</v>
      </c>
      <c r="Q63" s="16">
        <v>0</v>
      </c>
      <c r="R63" s="16">
        <v>0</v>
      </c>
      <c r="S63" s="16">
        <v>0</v>
      </c>
      <c r="T63" s="16">
        <v>1</v>
      </c>
      <c r="U63" s="16">
        <f t="shared" si="2"/>
        <v>0</v>
      </c>
      <c r="V63" s="16">
        <f t="shared" si="3"/>
        <v>0</v>
      </c>
      <c r="W63" s="16">
        <f t="shared" si="4"/>
        <v>0</v>
      </c>
      <c r="X63" s="16">
        <f t="shared" si="5"/>
        <v>4</v>
      </c>
    </row>
    <row r="64" ht="28.5" customHeight="1" spans="1:24">
      <c r="A64" s="4" t="s">
        <v>258</v>
      </c>
      <c r="B64" s="4" t="s">
        <v>259</v>
      </c>
      <c r="C64" s="4" t="s">
        <v>13</v>
      </c>
      <c r="D64" s="18" t="s">
        <v>28</v>
      </c>
      <c r="E64" s="4" t="s">
        <v>240</v>
      </c>
      <c r="F64" s="4" t="s">
        <v>159</v>
      </c>
      <c r="G64" s="4" t="s">
        <v>68</v>
      </c>
      <c r="H64" s="4" t="s">
        <v>260</v>
      </c>
      <c r="I64" s="4" t="s">
        <v>236</v>
      </c>
      <c r="J64" s="4" t="s">
        <v>242</v>
      </c>
      <c r="K64" s="16">
        <v>2</v>
      </c>
      <c r="L64" s="16" t="s">
        <v>90</v>
      </c>
      <c r="M64" s="16">
        <v>1</v>
      </c>
      <c r="N64" s="16">
        <v>2</v>
      </c>
      <c r="O64" s="16">
        <f t="shared" si="0"/>
        <v>2</v>
      </c>
      <c r="P64" s="16">
        <f t="shared" si="1"/>
        <v>4</v>
      </c>
      <c r="Q64" s="16">
        <v>0</v>
      </c>
      <c r="R64" s="16">
        <v>0</v>
      </c>
      <c r="S64" s="16">
        <v>0</v>
      </c>
      <c r="T64" s="16">
        <v>-1</v>
      </c>
      <c r="U64" s="16">
        <f t="shared" si="2"/>
        <v>0</v>
      </c>
      <c r="V64" s="16">
        <f t="shared" si="3"/>
        <v>0</v>
      </c>
      <c r="W64" s="16">
        <f t="shared" si="4"/>
        <v>0</v>
      </c>
      <c r="X64" s="16">
        <f t="shared" si="5"/>
        <v>-4</v>
      </c>
    </row>
    <row r="65" ht="28.5" customHeight="1" spans="1:24">
      <c r="A65" s="4" t="s">
        <v>261</v>
      </c>
      <c r="B65" s="4" t="s">
        <v>262</v>
      </c>
      <c r="C65" s="4" t="s">
        <v>15</v>
      </c>
      <c r="D65" s="19" t="s">
        <v>32</v>
      </c>
      <c r="E65" s="4" t="s">
        <v>263</v>
      </c>
      <c r="F65" s="4" t="s">
        <v>264</v>
      </c>
      <c r="G65" s="4" t="s">
        <v>68</v>
      </c>
      <c r="H65" s="4" t="s">
        <v>265</v>
      </c>
      <c r="I65" s="4" t="s">
        <v>266</v>
      </c>
      <c r="J65" s="4" t="s">
        <v>267</v>
      </c>
      <c r="K65" s="16">
        <v>3</v>
      </c>
      <c r="L65" s="16" t="s">
        <v>268</v>
      </c>
      <c r="M65" s="16">
        <v>0</v>
      </c>
      <c r="N65" s="16">
        <v>0</v>
      </c>
      <c r="O65" s="16">
        <f t="shared" si="0"/>
        <v>0</v>
      </c>
      <c r="P65" s="16">
        <f t="shared" si="1"/>
        <v>0</v>
      </c>
      <c r="Q65" s="16">
        <v>0</v>
      </c>
      <c r="R65" s="16">
        <v>0</v>
      </c>
      <c r="S65" s="16">
        <v>0</v>
      </c>
      <c r="T65" s="16">
        <v>0</v>
      </c>
      <c r="U65" s="16">
        <f t="shared" si="2"/>
        <v>0</v>
      </c>
      <c r="V65" s="16">
        <f t="shared" si="3"/>
        <v>0</v>
      </c>
      <c r="W65" s="16">
        <f t="shared" si="4"/>
        <v>0</v>
      </c>
      <c r="X65" s="16">
        <f t="shared" si="5"/>
        <v>0</v>
      </c>
    </row>
    <row r="66" ht="28.5" customHeight="1" spans="1:24">
      <c r="A66" s="4" t="s">
        <v>269</v>
      </c>
      <c r="B66" s="4" t="s">
        <v>270</v>
      </c>
      <c r="C66" s="4" t="s">
        <v>15</v>
      </c>
      <c r="D66" s="19" t="s">
        <v>32</v>
      </c>
      <c r="E66" s="4" t="s">
        <v>263</v>
      </c>
      <c r="F66" s="4" t="s">
        <v>271</v>
      </c>
      <c r="G66" s="4" t="s">
        <v>68</v>
      </c>
      <c r="H66" s="4" t="s">
        <v>272</v>
      </c>
      <c r="I66" s="4" t="s">
        <v>266</v>
      </c>
      <c r="J66" s="4" t="s">
        <v>273</v>
      </c>
      <c r="K66" s="16">
        <v>3</v>
      </c>
      <c r="L66" s="16" t="s">
        <v>268</v>
      </c>
      <c r="M66" s="16">
        <v>0</v>
      </c>
      <c r="N66" s="16">
        <v>0</v>
      </c>
      <c r="O66" s="16">
        <f t="shared" si="0"/>
        <v>0</v>
      </c>
      <c r="P66" s="16">
        <f t="shared" si="1"/>
        <v>0</v>
      </c>
      <c r="Q66" s="16">
        <v>0</v>
      </c>
      <c r="R66" s="16">
        <v>0</v>
      </c>
      <c r="S66" s="16">
        <v>0</v>
      </c>
      <c r="T66" s="16">
        <v>0</v>
      </c>
      <c r="U66" s="16">
        <f t="shared" si="2"/>
        <v>0</v>
      </c>
      <c r="V66" s="16">
        <f t="shared" si="3"/>
        <v>0</v>
      </c>
      <c r="W66" s="16">
        <f t="shared" si="4"/>
        <v>0</v>
      </c>
      <c r="X66" s="16">
        <f t="shared" si="5"/>
        <v>0</v>
      </c>
    </row>
    <row r="67" ht="28.5" customHeight="1" spans="1:24">
      <c r="A67" s="4" t="s">
        <v>274</v>
      </c>
      <c r="B67" s="4" t="s">
        <v>275</v>
      </c>
      <c r="C67" s="4" t="s">
        <v>15</v>
      </c>
      <c r="D67" s="19" t="s">
        <v>32</v>
      </c>
      <c r="E67" s="4" t="s">
        <v>276</v>
      </c>
      <c r="F67" s="4" t="s">
        <v>277</v>
      </c>
      <c r="G67" s="4" t="s">
        <v>68</v>
      </c>
      <c r="H67" s="4" t="s">
        <v>278</v>
      </c>
      <c r="I67" s="4" t="s">
        <v>266</v>
      </c>
      <c r="J67" s="4" t="s">
        <v>279</v>
      </c>
      <c r="K67" s="16">
        <v>4</v>
      </c>
      <c r="L67" s="16" t="s">
        <v>268</v>
      </c>
      <c r="M67" s="16">
        <v>0</v>
      </c>
      <c r="N67" s="16">
        <v>0</v>
      </c>
      <c r="O67" s="16">
        <f t="shared" si="0"/>
        <v>0</v>
      </c>
      <c r="P67" s="16">
        <f t="shared" si="1"/>
        <v>0</v>
      </c>
      <c r="Q67" s="16">
        <v>0</v>
      </c>
      <c r="R67" s="16">
        <v>0</v>
      </c>
      <c r="S67" s="16">
        <v>0</v>
      </c>
      <c r="T67" s="16">
        <v>0</v>
      </c>
      <c r="U67" s="16">
        <f t="shared" si="2"/>
        <v>0</v>
      </c>
      <c r="V67" s="16">
        <f t="shared" si="3"/>
        <v>0</v>
      </c>
      <c r="W67" s="16">
        <f t="shared" si="4"/>
        <v>0</v>
      </c>
      <c r="X67" s="16">
        <f t="shared" si="5"/>
        <v>0</v>
      </c>
    </row>
    <row r="68" ht="28.5" customHeight="1" spans="1:24">
      <c r="A68" s="4" t="s">
        <v>280</v>
      </c>
      <c r="B68" s="4" t="s">
        <v>281</v>
      </c>
      <c r="C68" s="4" t="s">
        <v>15</v>
      </c>
      <c r="D68" s="19" t="s">
        <v>32</v>
      </c>
      <c r="E68" s="4" t="s">
        <v>282</v>
      </c>
      <c r="F68" s="4" t="s">
        <v>283</v>
      </c>
      <c r="G68" s="4" t="s">
        <v>68</v>
      </c>
      <c r="H68" s="4" t="s">
        <v>284</v>
      </c>
      <c r="I68" s="4" t="s">
        <v>266</v>
      </c>
      <c r="J68" s="4" t="s">
        <v>285</v>
      </c>
      <c r="K68" s="16">
        <v>4</v>
      </c>
      <c r="L68" s="16" t="s">
        <v>268</v>
      </c>
      <c r="M68" s="16">
        <v>0</v>
      </c>
      <c r="N68" s="16">
        <v>0</v>
      </c>
      <c r="O68" s="16">
        <f t="shared" si="0"/>
        <v>0</v>
      </c>
      <c r="P68" s="16">
        <f t="shared" si="1"/>
        <v>0</v>
      </c>
      <c r="Q68" s="16">
        <v>0</v>
      </c>
      <c r="R68" s="16">
        <v>0</v>
      </c>
      <c r="S68" s="16">
        <v>0</v>
      </c>
      <c r="T68" s="16">
        <v>0</v>
      </c>
      <c r="U68" s="16">
        <f t="shared" si="2"/>
        <v>0</v>
      </c>
      <c r="V68" s="16">
        <f t="shared" si="3"/>
        <v>0</v>
      </c>
      <c r="W68" s="16">
        <f t="shared" si="4"/>
        <v>0</v>
      </c>
      <c r="X68" s="16">
        <f t="shared" si="5"/>
        <v>0</v>
      </c>
    </row>
    <row r="69" ht="28.5" customHeight="1" spans="1:24">
      <c r="A69" s="4" t="s">
        <v>286</v>
      </c>
      <c r="B69" s="4" t="s">
        <v>287</v>
      </c>
      <c r="C69" s="4" t="s">
        <v>15</v>
      </c>
      <c r="D69" s="19" t="s">
        <v>32</v>
      </c>
      <c r="E69" s="4" t="s">
        <v>288</v>
      </c>
      <c r="F69" s="4" t="s">
        <v>283</v>
      </c>
      <c r="G69" s="4" t="s">
        <v>68</v>
      </c>
      <c r="H69" s="4" t="s">
        <v>289</v>
      </c>
      <c r="I69" s="4" t="s">
        <v>266</v>
      </c>
      <c r="J69" s="4" t="s">
        <v>290</v>
      </c>
      <c r="K69" s="16">
        <v>4</v>
      </c>
      <c r="L69" s="16" t="s">
        <v>268</v>
      </c>
      <c r="M69" s="16">
        <v>0</v>
      </c>
      <c r="N69" s="16">
        <v>0</v>
      </c>
      <c r="O69" s="16">
        <f>M69*N69</f>
        <v>0</v>
      </c>
      <c r="P69" s="16">
        <f>K69*O69</f>
        <v>0</v>
      </c>
      <c r="Q69" s="16">
        <v>0</v>
      </c>
      <c r="R69" s="16">
        <v>0</v>
      </c>
      <c r="S69" s="16">
        <v>0</v>
      </c>
      <c r="T69" s="16">
        <v>0</v>
      </c>
      <c r="U69" s="16">
        <f>K69*N69*Q69</f>
        <v>0</v>
      </c>
      <c r="V69" s="16">
        <f>K69*N69*R69</f>
        <v>0</v>
      </c>
      <c r="W69" s="16">
        <f>K69*N69*S69</f>
        <v>0</v>
      </c>
      <c r="X69" s="16">
        <f>K69*N69*T69</f>
        <v>0</v>
      </c>
    </row>
    <row r="70" ht="28.5" customHeight="1" spans="1:24">
      <c r="A70" s="4" t="s">
        <v>291</v>
      </c>
      <c r="B70" s="4" t="s">
        <v>292</v>
      </c>
      <c r="C70" s="4" t="s">
        <v>15</v>
      </c>
      <c r="D70" s="19" t="s">
        <v>32</v>
      </c>
      <c r="E70" s="4" t="s">
        <v>293</v>
      </c>
      <c r="F70" s="4" t="s">
        <v>294</v>
      </c>
      <c r="G70" s="4" t="s">
        <v>68</v>
      </c>
      <c r="H70" s="4" t="s">
        <v>295</v>
      </c>
      <c r="I70" s="4" t="s">
        <v>266</v>
      </c>
      <c r="J70" s="4" t="s">
        <v>296</v>
      </c>
      <c r="K70" s="16">
        <v>2</v>
      </c>
      <c r="L70" s="16" t="s">
        <v>268</v>
      </c>
      <c r="M70" s="16">
        <v>0</v>
      </c>
      <c r="N70" s="16">
        <v>0</v>
      </c>
      <c r="O70" s="16">
        <f>M70*N70</f>
        <v>0</v>
      </c>
      <c r="P70" s="16">
        <f>K70*O70</f>
        <v>0</v>
      </c>
      <c r="Q70" s="16">
        <v>0</v>
      </c>
      <c r="R70" s="16">
        <v>0</v>
      </c>
      <c r="S70" s="16">
        <v>0</v>
      </c>
      <c r="T70" s="16">
        <v>0</v>
      </c>
      <c r="U70" s="16">
        <f>K70*N70*Q70</f>
        <v>0</v>
      </c>
      <c r="V70" s="16">
        <f>K70*N70*R70</f>
        <v>0</v>
      </c>
      <c r="W70" s="16">
        <f>K70*N70*S70</f>
        <v>0</v>
      </c>
      <c r="X70" s="16">
        <f>K70*N70*T70</f>
        <v>0</v>
      </c>
    </row>
    <row r="71" ht="28.5" customHeight="1" spans="1:24">
      <c r="A71" s="4" t="s">
        <v>297</v>
      </c>
      <c r="B71" s="4" t="s">
        <v>298</v>
      </c>
      <c r="C71" s="4" t="s">
        <v>15</v>
      </c>
      <c r="D71" s="19" t="s">
        <v>32</v>
      </c>
      <c r="E71" s="4" t="s">
        <v>299</v>
      </c>
      <c r="F71" s="4" t="s">
        <v>283</v>
      </c>
      <c r="G71" s="4" t="s">
        <v>68</v>
      </c>
      <c r="H71" s="4" t="s">
        <v>300</v>
      </c>
      <c r="I71" s="4" t="s">
        <v>266</v>
      </c>
      <c r="J71" s="4" t="s">
        <v>301</v>
      </c>
      <c r="K71" s="16">
        <v>4</v>
      </c>
      <c r="L71" s="16" t="s">
        <v>268</v>
      </c>
      <c r="M71" s="16">
        <v>0</v>
      </c>
      <c r="N71" s="16">
        <v>0</v>
      </c>
      <c r="O71" s="16">
        <f>M71*N71</f>
        <v>0</v>
      </c>
      <c r="P71" s="16">
        <f>K71*O71</f>
        <v>0</v>
      </c>
      <c r="Q71" s="16">
        <v>0</v>
      </c>
      <c r="R71" s="16">
        <v>0</v>
      </c>
      <c r="S71" s="16">
        <v>0</v>
      </c>
      <c r="T71" s="16">
        <v>0</v>
      </c>
      <c r="U71" s="16">
        <f>K71*N71*Q71</f>
        <v>0</v>
      </c>
      <c r="V71" s="16">
        <f>K71*N71*R71</f>
        <v>0</v>
      </c>
      <c r="W71" s="16">
        <f>K71*N71*S71</f>
        <v>0</v>
      </c>
      <c r="X71" s="16">
        <f>K71*N71*T71</f>
        <v>0</v>
      </c>
    </row>
  </sheetData>
  <mergeCells count="2">
    <mergeCell ref="A1:X1"/>
    <mergeCell ref="A2:X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64"/>
  <sheetViews>
    <sheetView showGridLines="0" workbookViewId="0">
      <selection activeCell="A1" sqref="A1:J1"/>
    </sheetView>
  </sheetViews>
  <sheetFormatPr defaultColWidth="9" defaultRowHeight="14.25"/>
  <cols>
    <col min="1" max="1" width="13.75" customWidth="1"/>
    <col min="2" max="2" width="16.8833333333333" customWidth="1"/>
    <col min="3" max="3" width="10.25" customWidth="1"/>
    <col min="4" max="4" width="25" customWidth="1"/>
    <col min="5" max="5" width="18.75" customWidth="1"/>
    <col min="6" max="6" width="9.75" customWidth="1"/>
    <col min="7" max="7" width="15" customWidth="1"/>
    <col min="8" max="8" width="43.75" customWidth="1"/>
    <col min="9" max="9" width="30.6333333333333" customWidth="1"/>
    <col min="10" max="10" width="21.8833333333333" customWidth="1"/>
  </cols>
  <sheetData>
    <row r="1" ht="31.5" customHeight="1" spans="1:10">
      <c r="A1" s="1" t="s">
        <v>302</v>
      </c>
      <c r="B1" s="1"/>
      <c r="C1" s="1"/>
      <c r="D1" s="1"/>
      <c r="E1" s="1"/>
      <c r="F1" s="1"/>
      <c r="G1" s="1"/>
      <c r="H1" s="1"/>
      <c r="I1" s="1"/>
      <c r="J1" s="1"/>
    </row>
    <row r="2" ht="27" customHeight="1" spans="1:10">
      <c r="A2" s="2" t="s">
        <v>303</v>
      </c>
      <c r="B2" s="2"/>
      <c r="C2" s="2"/>
      <c r="D2" s="2"/>
      <c r="E2" s="2"/>
      <c r="F2" s="2"/>
      <c r="G2" s="2"/>
      <c r="H2" s="2"/>
      <c r="I2" s="2"/>
      <c r="J2" s="2"/>
    </row>
    <row r="4" ht="27" customHeight="1" spans="1:10">
      <c r="A4" s="3" t="s">
        <v>304</v>
      </c>
      <c r="B4" s="3" t="s">
        <v>41</v>
      </c>
      <c r="C4" s="3" t="s">
        <v>305</v>
      </c>
      <c r="D4" s="3" t="s">
        <v>42</v>
      </c>
      <c r="E4" s="3" t="s">
        <v>43</v>
      </c>
      <c r="F4" s="3" t="s">
        <v>44</v>
      </c>
      <c r="G4" s="3" t="s">
        <v>306</v>
      </c>
      <c r="H4" s="3" t="s">
        <v>48</v>
      </c>
      <c r="I4" s="3" t="s">
        <v>307</v>
      </c>
      <c r="J4" s="3" t="s">
        <v>50</v>
      </c>
    </row>
    <row r="5" ht="28.5" customHeight="1" spans="1:10">
      <c r="A5" s="4" t="s">
        <v>308</v>
      </c>
      <c r="B5" s="4" t="s">
        <v>64</v>
      </c>
      <c r="C5" s="4">
        <v>1</v>
      </c>
      <c r="D5" s="4" t="s">
        <v>65</v>
      </c>
      <c r="E5" s="4" t="s">
        <v>9</v>
      </c>
      <c r="F5" s="4" t="s">
        <v>23</v>
      </c>
      <c r="G5" s="4" t="s">
        <v>67</v>
      </c>
      <c r="H5" s="4" t="s">
        <v>69</v>
      </c>
      <c r="I5" s="4" t="s">
        <v>70</v>
      </c>
      <c r="J5" s="4" t="s">
        <v>71</v>
      </c>
    </row>
    <row r="6" ht="28.5" customHeight="1" spans="1:10">
      <c r="A6" s="4" t="s">
        <v>309</v>
      </c>
      <c r="B6" s="4" t="s">
        <v>64</v>
      </c>
      <c r="C6" s="4">
        <v>2</v>
      </c>
      <c r="D6" s="4" t="s">
        <v>65</v>
      </c>
      <c r="E6" s="4" t="s">
        <v>9</v>
      </c>
      <c r="F6" s="4" t="s">
        <v>23</v>
      </c>
      <c r="G6" s="4" t="s">
        <v>67</v>
      </c>
      <c r="H6" s="4" t="s">
        <v>69</v>
      </c>
      <c r="I6" s="4" t="s">
        <v>70</v>
      </c>
      <c r="J6" s="4" t="s">
        <v>71</v>
      </c>
    </row>
    <row r="7" ht="28.5" customHeight="1" spans="1:10">
      <c r="A7" s="4" t="s">
        <v>310</v>
      </c>
      <c r="B7" s="4" t="s">
        <v>64</v>
      </c>
      <c r="C7" s="4">
        <v>3</v>
      </c>
      <c r="D7" s="4" t="s">
        <v>65</v>
      </c>
      <c r="E7" s="4" t="s">
        <v>9</v>
      </c>
      <c r="F7" s="4" t="s">
        <v>23</v>
      </c>
      <c r="G7" s="4" t="s">
        <v>67</v>
      </c>
      <c r="H7" s="4" t="s">
        <v>69</v>
      </c>
      <c r="I7" s="4" t="s">
        <v>70</v>
      </c>
      <c r="J7" s="4" t="s">
        <v>71</v>
      </c>
    </row>
    <row r="8" ht="28.5" customHeight="1" spans="1:10">
      <c r="A8" s="4" t="s">
        <v>311</v>
      </c>
      <c r="B8" s="4" t="s">
        <v>73</v>
      </c>
      <c r="C8" s="4">
        <v>1</v>
      </c>
      <c r="D8" s="4" t="s">
        <v>74</v>
      </c>
      <c r="E8" s="4" t="s">
        <v>9</v>
      </c>
      <c r="F8" s="4" t="s">
        <v>23</v>
      </c>
      <c r="G8" s="4" t="s">
        <v>67</v>
      </c>
      <c r="H8" s="4" t="s">
        <v>69</v>
      </c>
      <c r="I8" s="4" t="s">
        <v>70</v>
      </c>
      <c r="J8" s="4" t="s">
        <v>71</v>
      </c>
    </row>
    <row r="9" ht="28.5" customHeight="1" spans="1:10">
      <c r="A9" s="4" t="s">
        <v>312</v>
      </c>
      <c r="B9" s="4" t="s">
        <v>73</v>
      </c>
      <c r="C9" s="4">
        <v>2</v>
      </c>
      <c r="D9" s="4" t="s">
        <v>74</v>
      </c>
      <c r="E9" s="4" t="s">
        <v>9</v>
      </c>
      <c r="F9" s="4" t="s">
        <v>23</v>
      </c>
      <c r="G9" s="4" t="s">
        <v>67</v>
      </c>
      <c r="H9" s="4" t="s">
        <v>69</v>
      </c>
      <c r="I9" s="4" t="s">
        <v>70</v>
      </c>
      <c r="J9" s="4" t="s">
        <v>71</v>
      </c>
    </row>
    <row r="10" ht="28.5" customHeight="1" spans="1:10">
      <c r="A10" s="4" t="s">
        <v>313</v>
      </c>
      <c r="B10" s="4" t="s">
        <v>73</v>
      </c>
      <c r="C10" s="4">
        <v>3</v>
      </c>
      <c r="D10" s="4" t="s">
        <v>74</v>
      </c>
      <c r="E10" s="4" t="s">
        <v>9</v>
      </c>
      <c r="F10" s="4" t="s">
        <v>23</v>
      </c>
      <c r="G10" s="4" t="s">
        <v>67</v>
      </c>
      <c r="H10" s="4" t="s">
        <v>69</v>
      </c>
      <c r="I10" s="4" t="s">
        <v>70</v>
      </c>
      <c r="J10" s="4" t="s">
        <v>71</v>
      </c>
    </row>
    <row r="11" ht="28.5" customHeight="1" spans="1:10">
      <c r="A11" s="4" t="s">
        <v>314</v>
      </c>
      <c r="B11" s="4" t="s">
        <v>75</v>
      </c>
      <c r="C11" s="4">
        <v>1</v>
      </c>
      <c r="D11" s="4" t="s">
        <v>76</v>
      </c>
      <c r="E11" s="4" t="s">
        <v>9</v>
      </c>
      <c r="F11" s="4" t="s">
        <v>23</v>
      </c>
      <c r="G11" s="4" t="s">
        <v>67</v>
      </c>
      <c r="H11" s="4" t="s">
        <v>69</v>
      </c>
      <c r="I11" s="4" t="s">
        <v>70</v>
      </c>
      <c r="J11" s="4" t="s">
        <v>71</v>
      </c>
    </row>
    <row r="12" ht="28.5" customHeight="1" spans="1:10">
      <c r="A12" s="4" t="s">
        <v>315</v>
      </c>
      <c r="B12" s="4" t="s">
        <v>75</v>
      </c>
      <c r="C12" s="4">
        <v>2</v>
      </c>
      <c r="D12" s="4" t="s">
        <v>76</v>
      </c>
      <c r="E12" s="4" t="s">
        <v>9</v>
      </c>
      <c r="F12" s="4" t="s">
        <v>23</v>
      </c>
      <c r="G12" s="4" t="s">
        <v>67</v>
      </c>
      <c r="H12" s="4" t="s">
        <v>69</v>
      </c>
      <c r="I12" s="4" t="s">
        <v>70</v>
      </c>
      <c r="J12" s="4" t="s">
        <v>71</v>
      </c>
    </row>
    <row r="13" ht="28.5" customHeight="1" spans="1:10">
      <c r="A13" s="4" t="s">
        <v>316</v>
      </c>
      <c r="B13" s="4" t="s">
        <v>75</v>
      </c>
      <c r="C13" s="4">
        <v>3</v>
      </c>
      <c r="D13" s="4" t="s">
        <v>76</v>
      </c>
      <c r="E13" s="4" t="s">
        <v>9</v>
      </c>
      <c r="F13" s="4" t="s">
        <v>23</v>
      </c>
      <c r="G13" s="4" t="s">
        <v>67</v>
      </c>
      <c r="H13" s="4" t="s">
        <v>69</v>
      </c>
      <c r="I13" s="4" t="s">
        <v>70</v>
      </c>
      <c r="J13" s="4" t="s">
        <v>71</v>
      </c>
    </row>
    <row r="14" ht="28.5" customHeight="1" spans="1:10">
      <c r="A14" s="4" t="s">
        <v>317</v>
      </c>
      <c r="B14" s="4" t="s">
        <v>77</v>
      </c>
      <c r="C14" s="4">
        <v>1</v>
      </c>
      <c r="D14" s="4" t="s">
        <v>78</v>
      </c>
      <c r="E14" s="4" t="s">
        <v>9</v>
      </c>
      <c r="F14" s="4" t="s">
        <v>24</v>
      </c>
      <c r="G14" s="4" t="s">
        <v>67</v>
      </c>
      <c r="H14" s="4" t="s">
        <v>79</v>
      </c>
      <c r="I14" s="4" t="s">
        <v>70</v>
      </c>
      <c r="J14" s="4" t="s">
        <v>80</v>
      </c>
    </row>
    <row r="15" ht="28.5" customHeight="1" spans="1:10">
      <c r="A15" s="4" t="s">
        <v>318</v>
      </c>
      <c r="B15" s="4" t="s">
        <v>77</v>
      </c>
      <c r="C15" s="4">
        <v>2</v>
      </c>
      <c r="D15" s="4" t="s">
        <v>78</v>
      </c>
      <c r="E15" s="4" t="s">
        <v>9</v>
      </c>
      <c r="F15" s="4" t="s">
        <v>24</v>
      </c>
      <c r="G15" s="4" t="s">
        <v>67</v>
      </c>
      <c r="H15" s="4" t="s">
        <v>79</v>
      </c>
      <c r="I15" s="4" t="s">
        <v>70</v>
      </c>
      <c r="J15" s="4" t="s">
        <v>80</v>
      </c>
    </row>
    <row r="16" ht="28.5" customHeight="1" spans="1:10">
      <c r="A16" s="4" t="s">
        <v>319</v>
      </c>
      <c r="B16" s="4" t="s">
        <v>81</v>
      </c>
      <c r="C16" s="4">
        <v>1</v>
      </c>
      <c r="D16" s="4" t="s">
        <v>82</v>
      </c>
      <c r="E16" s="4" t="s">
        <v>9</v>
      </c>
      <c r="F16" s="4" t="s">
        <v>26</v>
      </c>
      <c r="G16" s="4" t="s">
        <v>67</v>
      </c>
      <c r="H16" s="4" t="s">
        <v>83</v>
      </c>
      <c r="I16" s="4" t="s">
        <v>70</v>
      </c>
      <c r="J16" s="4" t="s">
        <v>84</v>
      </c>
    </row>
    <row r="17" ht="28.5" customHeight="1" spans="1:10">
      <c r="A17" s="4" t="s">
        <v>320</v>
      </c>
      <c r="B17" s="4" t="s">
        <v>85</v>
      </c>
      <c r="C17" s="4">
        <v>1</v>
      </c>
      <c r="D17" s="4" t="s">
        <v>86</v>
      </c>
      <c r="E17" s="4" t="s">
        <v>9</v>
      </c>
      <c r="F17" s="4" t="s">
        <v>23</v>
      </c>
      <c r="G17" s="4" t="s">
        <v>67</v>
      </c>
      <c r="H17" s="4" t="s">
        <v>88</v>
      </c>
      <c r="I17" s="4" t="s">
        <v>70</v>
      </c>
      <c r="J17" s="4" t="s">
        <v>89</v>
      </c>
    </row>
    <row r="18" ht="28.5" customHeight="1" spans="1:10">
      <c r="A18" s="4" t="s">
        <v>321</v>
      </c>
      <c r="B18" s="4" t="s">
        <v>85</v>
      </c>
      <c r="C18" s="4">
        <v>2</v>
      </c>
      <c r="D18" s="4" t="s">
        <v>86</v>
      </c>
      <c r="E18" s="4" t="s">
        <v>9</v>
      </c>
      <c r="F18" s="4" t="s">
        <v>23</v>
      </c>
      <c r="G18" s="4" t="s">
        <v>67</v>
      </c>
      <c r="H18" s="4" t="s">
        <v>88</v>
      </c>
      <c r="I18" s="4" t="s">
        <v>70</v>
      </c>
      <c r="J18" s="4" t="s">
        <v>89</v>
      </c>
    </row>
    <row r="19" ht="28.5" customHeight="1" spans="1:10">
      <c r="A19" s="4" t="s">
        <v>322</v>
      </c>
      <c r="B19" s="4" t="s">
        <v>85</v>
      </c>
      <c r="C19" s="4">
        <v>3</v>
      </c>
      <c r="D19" s="4" t="s">
        <v>86</v>
      </c>
      <c r="E19" s="4" t="s">
        <v>9</v>
      </c>
      <c r="F19" s="4" t="s">
        <v>23</v>
      </c>
      <c r="G19" s="4" t="s">
        <v>67</v>
      </c>
      <c r="H19" s="4" t="s">
        <v>88</v>
      </c>
      <c r="I19" s="4" t="s">
        <v>70</v>
      </c>
      <c r="J19" s="4" t="s">
        <v>89</v>
      </c>
    </row>
    <row r="20" ht="28.5" customHeight="1" spans="1:10">
      <c r="A20" s="4" t="s">
        <v>323</v>
      </c>
      <c r="B20" s="4" t="s">
        <v>91</v>
      </c>
      <c r="C20" s="4">
        <v>1</v>
      </c>
      <c r="D20" s="4" t="s">
        <v>92</v>
      </c>
      <c r="E20" s="4" t="s">
        <v>9</v>
      </c>
      <c r="F20" s="4" t="s">
        <v>23</v>
      </c>
      <c r="G20" s="4" t="s">
        <v>67</v>
      </c>
      <c r="H20" s="4" t="s">
        <v>88</v>
      </c>
      <c r="I20" s="4" t="s">
        <v>70</v>
      </c>
      <c r="J20" s="4" t="s">
        <v>89</v>
      </c>
    </row>
    <row r="21" ht="28.5" customHeight="1" spans="1:10">
      <c r="A21" s="4" t="s">
        <v>324</v>
      </c>
      <c r="B21" s="4" t="s">
        <v>91</v>
      </c>
      <c r="C21" s="4">
        <v>2</v>
      </c>
      <c r="D21" s="4" t="s">
        <v>92</v>
      </c>
      <c r="E21" s="4" t="s">
        <v>9</v>
      </c>
      <c r="F21" s="4" t="s">
        <v>23</v>
      </c>
      <c r="G21" s="4" t="s">
        <v>67</v>
      </c>
      <c r="H21" s="4" t="s">
        <v>88</v>
      </c>
      <c r="I21" s="4" t="s">
        <v>70</v>
      </c>
      <c r="J21" s="4" t="s">
        <v>89</v>
      </c>
    </row>
    <row r="22" ht="28.5" customHeight="1" spans="1:10">
      <c r="A22" s="4" t="s">
        <v>325</v>
      </c>
      <c r="B22" s="4" t="s">
        <v>91</v>
      </c>
      <c r="C22" s="4">
        <v>3</v>
      </c>
      <c r="D22" s="4" t="s">
        <v>92</v>
      </c>
      <c r="E22" s="4" t="s">
        <v>9</v>
      </c>
      <c r="F22" s="4" t="s">
        <v>23</v>
      </c>
      <c r="G22" s="4" t="s">
        <v>67</v>
      </c>
      <c r="H22" s="4" t="s">
        <v>88</v>
      </c>
      <c r="I22" s="4" t="s">
        <v>70</v>
      </c>
      <c r="J22" s="4" t="s">
        <v>89</v>
      </c>
    </row>
    <row r="23" ht="28.5" customHeight="1" spans="1:10">
      <c r="A23" s="4" t="s">
        <v>326</v>
      </c>
      <c r="B23" s="4" t="s">
        <v>93</v>
      </c>
      <c r="C23" s="4">
        <v>1</v>
      </c>
      <c r="D23" s="4" t="s">
        <v>94</v>
      </c>
      <c r="E23" s="4" t="s">
        <v>9</v>
      </c>
      <c r="F23" s="4" t="s">
        <v>23</v>
      </c>
      <c r="G23" s="4" t="s">
        <v>67</v>
      </c>
      <c r="H23" s="4" t="s">
        <v>88</v>
      </c>
      <c r="I23" s="4" t="s">
        <v>70</v>
      </c>
      <c r="J23" s="4" t="s">
        <v>89</v>
      </c>
    </row>
    <row r="24" ht="28.5" customHeight="1" spans="1:10">
      <c r="A24" s="4" t="s">
        <v>327</v>
      </c>
      <c r="B24" s="4" t="s">
        <v>93</v>
      </c>
      <c r="C24" s="4">
        <v>2</v>
      </c>
      <c r="D24" s="4" t="s">
        <v>94</v>
      </c>
      <c r="E24" s="4" t="s">
        <v>9</v>
      </c>
      <c r="F24" s="4" t="s">
        <v>23</v>
      </c>
      <c r="G24" s="4" t="s">
        <v>67</v>
      </c>
      <c r="H24" s="4" t="s">
        <v>88</v>
      </c>
      <c r="I24" s="4" t="s">
        <v>70</v>
      </c>
      <c r="J24" s="4" t="s">
        <v>89</v>
      </c>
    </row>
    <row r="25" ht="28.5" customHeight="1" spans="1:10">
      <c r="A25" s="4" t="s">
        <v>328</v>
      </c>
      <c r="B25" s="4" t="s">
        <v>93</v>
      </c>
      <c r="C25" s="4">
        <v>3</v>
      </c>
      <c r="D25" s="4" t="s">
        <v>94</v>
      </c>
      <c r="E25" s="4" t="s">
        <v>9</v>
      </c>
      <c r="F25" s="4" t="s">
        <v>23</v>
      </c>
      <c r="G25" s="4" t="s">
        <v>67</v>
      </c>
      <c r="H25" s="4" t="s">
        <v>88</v>
      </c>
      <c r="I25" s="4" t="s">
        <v>70</v>
      </c>
      <c r="J25" s="4" t="s">
        <v>89</v>
      </c>
    </row>
    <row r="26" ht="28.5" customHeight="1" spans="1:10">
      <c r="A26" s="4" t="s">
        <v>329</v>
      </c>
      <c r="B26" s="4" t="s">
        <v>95</v>
      </c>
      <c r="C26" s="4">
        <v>1</v>
      </c>
      <c r="D26" s="4" t="s">
        <v>96</v>
      </c>
      <c r="E26" s="4" t="s">
        <v>9</v>
      </c>
      <c r="F26" s="4" t="s">
        <v>24</v>
      </c>
      <c r="G26" s="4" t="s">
        <v>67</v>
      </c>
      <c r="H26" s="4" t="s">
        <v>97</v>
      </c>
      <c r="I26" s="4" t="s">
        <v>70</v>
      </c>
      <c r="J26" s="4" t="s">
        <v>98</v>
      </c>
    </row>
    <row r="27" ht="28.5" customHeight="1" spans="1:10">
      <c r="A27" s="4" t="s">
        <v>330</v>
      </c>
      <c r="B27" s="4" t="s">
        <v>95</v>
      </c>
      <c r="C27" s="4">
        <v>2</v>
      </c>
      <c r="D27" s="4" t="s">
        <v>96</v>
      </c>
      <c r="E27" s="4" t="s">
        <v>9</v>
      </c>
      <c r="F27" s="4" t="s">
        <v>24</v>
      </c>
      <c r="G27" s="4" t="s">
        <v>67</v>
      </c>
      <c r="H27" s="4" t="s">
        <v>97</v>
      </c>
      <c r="I27" s="4" t="s">
        <v>70</v>
      </c>
      <c r="J27" s="4" t="s">
        <v>98</v>
      </c>
    </row>
    <row r="28" ht="28.5" customHeight="1" spans="1:10">
      <c r="A28" s="4" t="s">
        <v>331</v>
      </c>
      <c r="B28" s="4" t="s">
        <v>99</v>
      </c>
      <c r="C28" s="4">
        <v>1</v>
      </c>
      <c r="D28" s="4" t="s">
        <v>100</v>
      </c>
      <c r="E28" s="4" t="s">
        <v>9</v>
      </c>
      <c r="F28" s="4" t="s">
        <v>26</v>
      </c>
      <c r="G28" s="4" t="s">
        <v>67</v>
      </c>
      <c r="H28" s="4" t="s">
        <v>101</v>
      </c>
      <c r="I28" s="4" t="s">
        <v>70</v>
      </c>
      <c r="J28" s="4" t="s">
        <v>102</v>
      </c>
    </row>
    <row r="29" ht="28.5" customHeight="1" spans="1:10">
      <c r="A29" s="4" t="s">
        <v>332</v>
      </c>
      <c r="B29" s="4" t="s">
        <v>103</v>
      </c>
      <c r="C29" s="4">
        <v>1</v>
      </c>
      <c r="D29" s="4" t="s">
        <v>104</v>
      </c>
      <c r="E29" s="4" t="s">
        <v>9</v>
      </c>
      <c r="F29" s="4" t="s">
        <v>23</v>
      </c>
      <c r="G29" s="4" t="s">
        <v>105</v>
      </c>
      <c r="H29" s="4" t="s">
        <v>106</v>
      </c>
      <c r="I29" s="4" t="s">
        <v>70</v>
      </c>
      <c r="J29" s="4" t="s">
        <v>71</v>
      </c>
    </row>
    <row r="30" ht="28.5" customHeight="1" spans="1:10">
      <c r="A30" s="4" t="s">
        <v>333</v>
      </c>
      <c r="B30" s="4" t="s">
        <v>103</v>
      </c>
      <c r="C30" s="4">
        <v>2</v>
      </c>
      <c r="D30" s="4" t="s">
        <v>104</v>
      </c>
      <c r="E30" s="4" t="s">
        <v>9</v>
      </c>
      <c r="F30" s="4" t="s">
        <v>23</v>
      </c>
      <c r="G30" s="4" t="s">
        <v>105</v>
      </c>
      <c r="H30" s="4" t="s">
        <v>106</v>
      </c>
      <c r="I30" s="4" t="s">
        <v>70</v>
      </c>
      <c r="J30" s="4" t="s">
        <v>71</v>
      </c>
    </row>
    <row r="31" ht="28.5" customHeight="1" spans="1:10">
      <c r="A31" s="4" t="s">
        <v>334</v>
      </c>
      <c r="B31" s="4" t="s">
        <v>103</v>
      </c>
      <c r="C31" s="4">
        <v>3</v>
      </c>
      <c r="D31" s="4" t="s">
        <v>104</v>
      </c>
      <c r="E31" s="4" t="s">
        <v>9</v>
      </c>
      <c r="F31" s="4" t="s">
        <v>23</v>
      </c>
      <c r="G31" s="4" t="s">
        <v>105</v>
      </c>
      <c r="H31" s="4" t="s">
        <v>106</v>
      </c>
      <c r="I31" s="4" t="s">
        <v>70</v>
      </c>
      <c r="J31" s="4" t="s">
        <v>71</v>
      </c>
    </row>
    <row r="32" ht="28.5" customHeight="1" spans="1:10">
      <c r="A32" s="4" t="s">
        <v>335</v>
      </c>
      <c r="B32" s="4" t="s">
        <v>107</v>
      </c>
      <c r="C32" s="4">
        <v>1</v>
      </c>
      <c r="D32" s="4" t="s">
        <v>108</v>
      </c>
      <c r="E32" s="4" t="s">
        <v>9</v>
      </c>
      <c r="F32" s="4" t="s">
        <v>23</v>
      </c>
      <c r="G32" s="4" t="s">
        <v>105</v>
      </c>
      <c r="H32" s="4" t="s">
        <v>106</v>
      </c>
      <c r="I32" s="4" t="s">
        <v>70</v>
      </c>
      <c r="J32" s="4" t="s">
        <v>71</v>
      </c>
    </row>
    <row r="33" ht="28.5" customHeight="1" spans="1:10">
      <c r="A33" s="4" t="s">
        <v>336</v>
      </c>
      <c r="B33" s="4" t="s">
        <v>107</v>
      </c>
      <c r="C33" s="4">
        <v>2</v>
      </c>
      <c r="D33" s="4" t="s">
        <v>108</v>
      </c>
      <c r="E33" s="4" t="s">
        <v>9</v>
      </c>
      <c r="F33" s="4" t="s">
        <v>23</v>
      </c>
      <c r="G33" s="4" t="s">
        <v>105</v>
      </c>
      <c r="H33" s="4" t="s">
        <v>106</v>
      </c>
      <c r="I33" s="4" t="s">
        <v>70</v>
      </c>
      <c r="J33" s="4" t="s">
        <v>71</v>
      </c>
    </row>
    <row r="34" ht="28.5" customHeight="1" spans="1:10">
      <c r="A34" s="4" t="s">
        <v>337</v>
      </c>
      <c r="B34" s="4" t="s">
        <v>107</v>
      </c>
      <c r="C34" s="4">
        <v>3</v>
      </c>
      <c r="D34" s="4" t="s">
        <v>108</v>
      </c>
      <c r="E34" s="4" t="s">
        <v>9</v>
      </c>
      <c r="F34" s="4" t="s">
        <v>23</v>
      </c>
      <c r="G34" s="4" t="s">
        <v>105</v>
      </c>
      <c r="H34" s="4" t="s">
        <v>106</v>
      </c>
      <c r="I34" s="4" t="s">
        <v>70</v>
      </c>
      <c r="J34" s="4" t="s">
        <v>71</v>
      </c>
    </row>
    <row r="35" ht="28.5" customHeight="1" spans="1:10">
      <c r="A35" s="4" t="s">
        <v>338</v>
      </c>
      <c r="B35" s="4" t="s">
        <v>109</v>
      </c>
      <c r="C35" s="4">
        <v>1</v>
      </c>
      <c r="D35" s="4" t="s">
        <v>110</v>
      </c>
      <c r="E35" s="4" t="s">
        <v>9</v>
      </c>
      <c r="F35" s="4" t="s">
        <v>23</v>
      </c>
      <c r="G35" s="4" t="s">
        <v>105</v>
      </c>
      <c r="H35" s="4" t="s">
        <v>106</v>
      </c>
      <c r="I35" s="4" t="s">
        <v>70</v>
      </c>
      <c r="J35" s="4" t="s">
        <v>71</v>
      </c>
    </row>
    <row r="36" ht="28.5" customHeight="1" spans="1:10">
      <c r="A36" s="4" t="s">
        <v>339</v>
      </c>
      <c r="B36" s="4" t="s">
        <v>109</v>
      </c>
      <c r="C36" s="4">
        <v>2</v>
      </c>
      <c r="D36" s="4" t="s">
        <v>110</v>
      </c>
      <c r="E36" s="4" t="s">
        <v>9</v>
      </c>
      <c r="F36" s="4" t="s">
        <v>23</v>
      </c>
      <c r="G36" s="4" t="s">
        <v>105</v>
      </c>
      <c r="H36" s="4" t="s">
        <v>106</v>
      </c>
      <c r="I36" s="4" t="s">
        <v>70</v>
      </c>
      <c r="J36" s="4" t="s">
        <v>71</v>
      </c>
    </row>
    <row r="37" ht="28.5" customHeight="1" spans="1:10">
      <c r="A37" s="4" t="s">
        <v>340</v>
      </c>
      <c r="B37" s="4" t="s">
        <v>109</v>
      </c>
      <c r="C37" s="4">
        <v>3</v>
      </c>
      <c r="D37" s="4" t="s">
        <v>110</v>
      </c>
      <c r="E37" s="4" t="s">
        <v>9</v>
      </c>
      <c r="F37" s="4" t="s">
        <v>23</v>
      </c>
      <c r="G37" s="4" t="s">
        <v>105</v>
      </c>
      <c r="H37" s="4" t="s">
        <v>106</v>
      </c>
      <c r="I37" s="4" t="s">
        <v>70</v>
      </c>
      <c r="J37" s="4" t="s">
        <v>71</v>
      </c>
    </row>
    <row r="38" ht="28.5" customHeight="1" spans="1:10">
      <c r="A38" s="4" t="s">
        <v>341</v>
      </c>
      <c r="B38" s="4" t="s">
        <v>111</v>
      </c>
      <c r="C38" s="4">
        <v>1</v>
      </c>
      <c r="D38" s="4" t="s">
        <v>112</v>
      </c>
      <c r="E38" s="4" t="s">
        <v>9</v>
      </c>
      <c r="F38" s="4" t="s">
        <v>24</v>
      </c>
      <c r="G38" s="4" t="s">
        <v>105</v>
      </c>
      <c r="H38" s="4" t="s">
        <v>113</v>
      </c>
      <c r="I38" s="4" t="s">
        <v>70</v>
      </c>
      <c r="J38" s="4" t="s">
        <v>80</v>
      </c>
    </row>
    <row r="39" ht="28.5" customHeight="1" spans="1:10">
      <c r="A39" s="4" t="s">
        <v>342</v>
      </c>
      <c r="B39" s="4" t="s">
        <v>111</v>
      </c>
      <c r="C39" s="4">
        <v>2</v>
      </c>
      <c r="D39" s="4" t="s">
        <v>112</v>
      </c>
      <c r="E39" s="4" t="s">
        <v>9</v>
      </c>
      <c r="F39" s="4" t="s">
        <v>24</v>
      </c>
      <c r="G39" s="4" t="s">
        <v>105</v>
      </c>
      <c r="H39" s="4" t="s">
        <v>113</v>
      </c>
      <c r="I39" s="4" t="s">
        <v>70</v>
      </c>
      <c r="J39" s="4" t="s">
        <v>80</v>
      </c>
    </row>
    <row r="40" ht="28.5" customHeight="1" spans="1:10">
      <c r="A40" s="4" t="s">
        <v>343</v>
      </c>
      <c r="B40" s="4" t="s">
        <v>114</v>
      </c>
      <c r="C40" s="4">
        <v>1</v>
      </c>
      <c r="D40" s="4" t="s">
        <v>115</v>
      </c>
      <c r="E40" s="4" t="s">
        <v>9</v>
      </c>
      <c r="F40" s="4" t="s">
        <v>26</v>
      </c>
      <c r="G40" s="4" t="s">
        <v>105</v>
      </c>
      <c r="H40" s="4" t="s">
        <v>116</v>
      </c>
      <c r="I40" s="4" t="s">
        <v>70</v>
      </c>
      <c r="J40" s="4" t="s">
        <v>84</v>
      </c>
    </row>
    <row r="41" ht="28.5" customHeight="1" spans="1:10">
      <c r="A41" s="4" t="s">
        <v>344</v>
      </c>
      <c r="B41" s="4" t="s">
        <v>117</v>
      </c>
      <c r="C41" s="4">
        <v>1</v>
      </c>
      <c r="D41" s="4" t="s">
        <v>118</v>
      </c>
      <c r="E41" s="4" t="s">
        <v>9</v>
      </c>
      <c r="F41" s="4" t="s">
        <v>23</v>
      </c>
      <c r="G41" s="4" t="s">
        <v>105</v>
      </c>
      <c r="H41" s="4" t="s">
        <v>119</v>
      </c>
      <c r="I41" s="4" t="s">
        <v>70</v>
      </c>
      <c r="J41" s="4" t="s">
        <v>89</v>
      </c>
    </row>
    <row r="42" ht="28.5" customHeight="1" spans="1:10">
      <c r="A42" s="4" t="s">
        <v>345</v>
      </c>
      <c r="B42" s="4" t="s">
        <v>117</v>
      </c>
      <c r="C42" s="4">
        <v>2</v>
      </c>
      <c r="D42" s="4" t="s">
        <v>118</v>
      </c>
      <c r="E42" s="4" t="s">
        <v>9</v>
      </c>
      <c r="F42" s="4" t="s">
        <v>23</v>
      </c>
      <c r="G42" s="4" t="s">
        <v>105</v>
      </c>
      <c r="H42" s="4" t="s">
        <v>119</v>
      </c>
      <c r="I42" s="4" t="s">
        <v>70</v>
      </c>
      <c r="J42" s="4" t="s">
        <v>89</v>
      </c>
    </row>
    <row r="43" ht="28.5" customHeight="1" spans="1:10">
      <c r="A43" s="4" t="s">
        <v>346</v>
      </c>
      <c r="B43" s="4" t="s">
        <v>117</v>
      </c>
      <c r="C43" s="4">
        <v>3</v>
      </c>
      <c r="D43" s="4" t="s">
        <v>118</v>
      </c>
      <c r="E43" s="4" t="s">
        <v>9</v>
      </c>
      <c r="F43" s="4" t="s">
        <v>23</v>
      </c>
      <c r="G43" s="4" t="s">
        <v>105</v>
      </c>
      <c r="H43" s="4" t="s">
        <v>119</v>
      </c>
      <c r="I43" s="4" t="s">
        <v>70</v>
      </c>
      <c r="J43" s="4" t="s">
        <v>89</v>
      </c>
    </row>
    <row r="44" ht="28.5" customHeight="1" spans="1:10">
      <c r="A44" s="4" t="s">
        <v>347</v>
      </c>
      <c r="B44" s="4" t="s">
        <v>120</v>
      </c>
      <c r="C44" s="4">
        <v>1</v>
      </c>
      <c r="D44" s="4" t="s">
        <v>121</v>
      </c>
      <c r="E44" s="4" t="s">
        <v>9</v>
      </c>
      <c r="F44" s="4" t="s">
        <v>23</v>
      </c>
      <c r="G44" s="4" t="s">
        <v>105</v>
      </c>
      <c r="H44" s="4" t="s">
        <v>119</v>
      </c>
      <c r="I44" s="4" t="s">
        <v>70</v>
      </c>
      <c r="J44" s="4" t="s">
        <v>89</v>
      </c>
    </row>
    <row r="45" ht="28.5" customHeight="1" spans="1:10">
      <c r="A45" s="4" t="s">
        <v>348</v>
      </c>
      <c r="B45" s="4" t="s">
        <v>120</v>
      </c>
      <c r="C45" s="4">
        <v>2</v>
      </c>
      <c r="D45" s="4" t="s">
        <v>121</v>
      </c>
      <c r="E45" s="4" t="s">
        <v>9</v>
      </c>
      <c r="F45" s="4" t="s">
        <v>23</v>
      </c>
      <c r="G45" s="4" t="s">
        <v>105</v>
      </c>
      <c r="H45" s="4" t="s">
        <v>119</v>
      </c>
      <c r="I45" s="4" t="s">
        <v>70</v>
      </c>
      <c r="J45" s="4" t="s">
        <v>89</v>
      </c>
    </row>
    <row r="46" ht="28.5" customHeight="1" spans="1:10">
      <c r="A46" s="4" t="s">
        <v>349</v>
      </c>
      <c r="B46" s="4" t="s">
        <v>120</v>
      </c>
      <c r="C46" s="4">
        <v>3</v>
      </c>
      <c r="D46" s="4" t="s">
        <v>121</v>
      </c>
      <c r="E46" s="4" t="s">
        <v>9</v>
      </c>
      <c r="F46" s="4" t="s">
        <v>23</v>
      </c>
      <c r="G46" s="4" t="s">
        <v>105</v>
      </c>
      <c r="H46" s="4" t="s">
        <v>119</v>
      </c>
      <c r="I46" s="4" t="s">
        <v>70</v>
      </c>
      <c r="J46" s="4" t="s">
        <v>89</v>
      </c>
    </row>
    <row r="47" ht="28.5" customHeight="1" spans="1:10">
      <c r="A47" s="4" t="s">
        <v>350</v>
      </c>
      <c r="B47" s="4" t="s">
        <v>122</v>
      </c>
      <c r="C47" s="4">
        <v>1</v>
      </c>
      <c r="D47" s="4" t="s">
        <v>123</v>
      </c>
      <c r="E47" s="4" t="s">
        <v>9</v>
      </c>
      <c r="F47" s="4" t="s">
        <v>23</v>
      </c>
      <c r="G47" s="4" t="s">
        <v>105</v>
      </c>
      <c r="H47" s="4" t="s">
        <v>119</v>
      </c>
      <c r="I47" s="4" t="s">
        <v>70</v>
      </c>
      <c r="J47" s="4" t="s">
        <v>89</v>
      </c>
    </row>
    <row r="48" ht="28.5" customHeight="1" spans="1:10">
      <c r="A48" s="4" t="s">
        <v>351</v>
      </c>
      <c r="B48" s="4" t="s">
        <v>122</v>
      </c>
      <c r="C48" s="4">
        <v>2</v>
      </c>
      <c r="D48" s="4" t="s">
        <v>123</v>
      </c>
      <c r="E48" s="4" t="s">
        <v>9</v>
      </c>
      <c r="F48" s="4" t="s">
        <v>23</v>
      </c>
      <c r="G48" s="4" t="s">
        <v>105</v>
      </c>
      <c r="H48" s="4" t="s">
        <v>119</v>
      </c>
      <c r="I48" s="4" t="s">
        <v>70</v>
      </c>
      <c r="J48" s="4" t="s">
        <v>89</v>
      </c>
    </row>
    <row r="49" ht="28.5" customHeight="1" spans="1:10">
      <c r="A49" s="4" t="s">
        <v>352</v>
      </c>
      <c r="B49" s="4" t="s">
        <v>122</v>
      </c>
      <c r="C49" s="4">
        <v>3</v>
      </c>
      <c r="D49" s="4" t="s">
        <v>123</v>
      </c>
      <c r="E49" s="4" t="s">
        <v>9</v>
      </c>
      <c r="F49" s="4" t="s">
        <v>23</v>
      </c>
      <c r="G49" s="4" t="s">
        <v>105</v>
      </c>
      <c r="H49" s="4" t="s">
        <v>119</v>
      </c>
      <c r="I49" s="4" t="s">
        <v>70</v>
      </c>
      <c r="J49" s="4" t="s">
        <v>89</v>
      </c>
    </row>
    <row r="50" ht="28.5" customHeight="1" spans="1:10">
      <c r="A50" s="4" t="s">
        <v>353</v>
      </c>
      <c r="B50" s="4" t="s">
        <v>124</v>
      </c>
      <c r="C50" s="4">
        <v>1</v>
      </c>
      <c r="D50" s="4" t="s">
        <v>125</v>
      </c>
      <c r="E50" s="4" t="s">
        <v>9</v>
      </c>
      <c r="F50" s="4" t="s">
        <v>24</v>
      </c>
      <c r="G50" s="4" t="s">
        <v>105</v>
      </c>
      <c r="H50" s="4" t="s">
        <v>126</v>
      </c>
      <c r="I50" s="4" t="s">
        <v>70</v>
      </c>
      <c r="J50" s="4" t="s">
        <v>98</v>
      </c>
    </row>
    <row r="51" ht="28.5" customHeight="1" spans="1:10">
      <c r="A51" s="4" t="s">
        <v>354</v>
      </c>
      <c r="B51" s="4" t="s">
        <v>124</v>
      </c>
      <c r="C51" s="4">
        <v>2</v>
      </c>
      <c r="D51" s="4" t="s">
        <v>125</v>
      </c>
      <c r="E51" s="4" t="s">
        <v>9</v>
      </c>
      <c r="F51" s="4" t="s">
        <v>24</v>
      </c>
      <c r="G51" s="4" t="s">
        <v>105</v>
      </c>
      <c r="H51" s="4" t="s">
        <v>126</v>
      </c>
      <c r="I51" s="4" t="s">
        <v>70</v>
      </c>
      <c r="J51" s="4" t="s">
        <v>98</v>
      </c>
    </row>
    <row r="52" ht="28.5" customHeight="1" spans="1:10">
      <c r="A52" s="4" t="s">
        <v>355</v>
      </c>
      <c r="B52" s="4" t="s">
        <v>127</v>
      </c>
      <c r="C52" s="4">
        <v>1</v>
      </c>
      <c r="D52" s="4" t="s">
        <v>128</v>
      </c>
      <c r="E52" s="4" t="s">
        <v>9</v>
      </c>
      <c r="F52" s="4" t="s">
        <v>26</v>
      </c>
      <c r="G52" s="4" t="s">
        <v>105</v>
      </c>
      <c r="H52" s="4" t="s">
        <v>129</v>
      </c>
      <c r="I52" s="4" t="s">
        <v>70</v>
      </c>
      <c r="J52" s="4" t="s">
        <v>102</v>
      </c>
    </row>
    <row r="53" ht="28.5" customHeight="1" spans="1:10">
      <c r="A53" s="4" t="s">
        <v>356</v>
      </c>
      <c r="B53" s="4" t="s">
        <v>130</v>
      </c>
      <c r="C53" s="4">
        <v>1</v>
      </c>
      <c r="D53" s="4" t="s">
        <v>131</v>
      </c>
      <c r="E53" s="4" t="s">
        <v>9</v>
      </c>
      <c r="F53" s="4" t="s">
        <v>23</v>
      </c>
      <c r="G53" s="4" t="s">
        <v>132</v>
      </c>
      <c r="H53" s="4" t="s">
        <v>133</v>
      </c>
      <c r="I53" s="4" t="s">
        <v>70</v>
      </c>
      <c r="J53" s="4" t="s">
        <v>71</v>
      </c>
    </row>
    <row r="54" ht="28.5" customHeight="1" spans="1:10">
      <c r="A54" s="4" t="s">
        <v>357</v>
      </c>
      <c r="B54" s="4" t="s">
        <v>130</v>
      </c>
      <c r="C54" s="4">
        <v>2</v>
      </c>
      <c r="D54" s="4" t="s">
        <v>131</v>
      </c>
      <c r="E54" s="4" t="s">
        <v>9</v>
      </c>
      <c r="F54" s="4" t="s">
        <v>23</v>
      </c>
      <c r="G54" s="4" t="s">
        <v>132</v>
      </c>
      <c r="H54" s="4" t="s">
        <v>133</v>
      </c>
      <c r="I54" s="4" t="s">
        <v>70</v>
      </c>
      <c r="J54" s="4" t="s">
        <v>71</v>
      </c>
    </row>
    <row r="55" ht="28.5" customHeight="1" spans="1:10">
      <c r="A55" s="4" t="s">
        <v>358</v>
      </c>
      <c r="B55" s="4" t="s">
        <v>130</v>
      </c>
      <c r="C55" s="4">
        <v>3</v>
      </c>
      <c r="D55" s="4" t="s">
        <v>131</v>
      </c>
      <c r="E55" s="4" t="s">
        <v>9</v>
      </c>
      <c r="F55" s="4" t="s">
        <v>23</v>
      </c>
      <c r="G55" s="4" t="s">
        <v>132</v>
      </c>
      <c r="H55" s="4" t="s">
        <v>133</v>
      </c>
      <c r="I55" s="4" t="s">
        <v>70</v>
      </c>
      <c r="J55" s="4" t="s">
        <v>71</v>
      </c>
    </row>
    <row r="56" ht="28.5" customHeight="1" spans="1:10">
      <c r="A56" s="4" t="s">
        <v>359</v>
      </c>
      <c r="B56" s="4" t="s">
        <v>134</v>
      </c>
      <c r="C56" s="4">
        <v>1</v>
      </c>
      <c r="D56" s="4" t="s">
        <v>135</v>
      </c>
      <c r="E56" s="4" t="s">
        <v>9</v>
      </c>
      <c r="F56" s="4" t="s">
        <v>23</v>
      </c>
      <c r="G56" s="4" t="s">
        <v>132</v>
      </c>
      <c r="H56" s="4" t="s">
        <v>133</v>
      </c>
      <c r="I56" s="4" t="s">
        <v>70</v>
      </c>
      <c r="J56" s="4" t="s">
        <v>71</v>
      </c>
    </row>
    <row r="57" ht="28.5" customHeight="1" spans="1:10">
      <c r="A57" s="4" t="s">
        <v>360</v>
      </c>
      <c r="B57" s="4" t="s">
        <v>134</v>
      </c>
      <c r="C57" s="4">
        <v>2</v>
      </c>
      <c r="D57" s="4" t="s">
        <v>135</v>
      </c>
      <c r="E57" s="4" t="s">
        <v>9</v>
      </c>
      <c r="F57" s="4" t="s">
        <v>23</v>
      </c>
      <c r="G57" s="4" t="s">
        <v>132</v>
      </c>
      <c r="H57" s="4" t="s">
        <v>133</v>
      </c>
      <c r="I57" s="4" t="s">
        <v>70</v>
      </c>
      <c r="J57" s="4" t="s">
        <v>71</v>
      </c>
    </row>
    <row r="58" ht="28.5" customHeight="1" spans="1:10">
      <c r="A58" s="4" t="s">
        <v>361</v>
      </c>
      <c r="B58" s="4" t="s">
        <v>134</v>
      </c>
      <c r="C58" s="4">
        <v>3</v>
      </c>
      <c r="D58" s="4" t="s">
        <v>135</v>
      </c>
      <c r="E58" s="4" t="s">
        <v>9</v>
      </c>
      <c r="F58" s="4" t="s">
        <v>23</v>
      </c>
      <c r="G58" s="4" t="s">
        <v>132</v>
      </c>
      <c r="H58" s="4" t="s">
        <v>133</v>
      </c>
      <c r="I58" s="4" t="s">
        <v>70</v>
      </c>
      <c r="J58" s="4" t="s">
        <v>71</v>
      </c>
    </row>
    <row r="59" ht="28.5" customHeight="1" spans="1:10">
      <c r="A59" s="4" t="s">
        <v>362</v>
      </c>
      <c r="B59" s="4" t="s">
        <v>136</v>
      </c>
      <c r="C59" s="4">
        <v>1</v>
      </c>
      <c r="D59" s="4" t="s">
        <v>137</v>
      </c>
      <c r="E59" s="4" t="s">
        <v>9</v>
      </c>
      <c r="F59" s="4" t="s">
        <v>23</v>
      </c>
      <c r="G59" s="4" t="s">
        <v>132</v>
      </c>
      <c r="H59" s="4" t="s">
        <v>133</v>
      </c>
      <c r="I59" s="4" t="s">
        <v>70</v>
      </c>
      <c r="J59" s="4" t="s">
        <v>71</v>
      </c>
    </row>
    <row r="60" ht="28.5" customHeight="1" spans="1:10">
      <c r="A60" s="4" t="s">
        <v>363</v>
      </c>
      <c r="B60" s="4" t="s">
        <v>136</v>
      </c>
      <c r="C60" s="4">
        <v>2</v>
      </c>
      <c r="D60" s="4" t="s">
        <v>137</v>
      </c>
      <c r="E60" s="4" t="s">
        <v>9</v>
      </c>
      <c r="F60" s="4" t="s">
        <v>23</v>
      </c>
      <c r="G60" s="4" t="s">
        <v>132</v>
      </c>
      <c r="H60" s="4" t="s">
        <v>133</v>
      </c>
      <c r="I60" s="4" t="s">
        <v>70</v>
      </c>
      <c r="J60" s="4" t="s">
        <v>71</v>
      </c>
    </row>
    <row r="61" ht="28.5" customHeight="1" spans="1:10">
      <c r="A61" s="4" t="s">
        <v>364</v>
      </c>
      <c r="B61" s="4" t="s">
        <v>136</v>
      </c>
      <c r="C61" s="4">
        <v>3</v>
      </c>
      <c r="D61" s="4" t="s">
        <v>137</v>
      </c>
      <c r="E61" s="4" t="s">
        <v>9</v>
      </c>
      <c r="F61" s="4" t="s">
        <v>23</v>
      </c>
      <c r="G61" s="4" t="s">
        <v>132</v>
      </c>
      <c r="H61" s="4" t="s">
        <v>133</v>
      </c>
      <c r="I61" s="4" t="s">
        <v>70</v>
      </c>
      <c r="J61" s="4" t="s">
        <v>71</v>
      </c>
    </row>
    <row r="62" ht="28.5" customHeight="1" spans="1:10">
      <c r="A62" s="4" t="s">
        <v>365</v>
      </c>
      <c r="B62" s="4" t="s">
        <v>138</v>
      </c>
      <c r="C62" s="4">
        <v>1</v>
      </c>
      <c r="D62" s="4" t="s">
        <v>139</v>
      </c>
      <c r="E62" s="4" t="s">
        <v>9</v>
      </c>
      <c r="F62" s="4" t="s">
        <v>24</v>
      </c>
      <c r="G62" s="4" t="s">
        <v>132</v>
      </c>
      <c r="H62" s="4" t="s">
        <v>140</v>
      </c>
      <c r="I62" s="4" t="s">
        <v>70</v>
      </c>
      <c r="J62" s="4" t="s">
        <v>80</v>
      </c>
    </row>
    <row r="63" ht="28.5" customHeight="1" spans="1:10">
      <c r="A63" s="4" t="s">
        <v>366</v>
      </c>
      <c r="B63" s="4" t="s">
        <v>138</v>
      </c>
      <c r="C63" s="4">
        <v>2</v>
      </c>
      <c r="D63" s="4" t="s">
        <v>139</v>
      </c>
      <c r="E63" s="4" t="s">
        <v>9</v>
      </c>
      <c r="F63" s="4" t="s">
        <v>24</v>
      </c>
      <c r="G63" s="4" t="s">
        <v>132</v>
      </c>
      <c r="H63" s="4" t="s">
        <v>140</v>
      </c>
      <c r="I63" s="4" t="s">
        <v>70</v>
      </c>
      <c r="J63" s="4" t="s">
        <v>80</v>
      </c>
    </row>
    <row r="64" ht="28.5" customHeight="1" spans="1:10">
      <c r="A64" s="4" t="s">
        <v>367</v>
      </c>
      <c r="B64" s="4" t="s">
        <v>141</v>
      </c>
      <c r="C64" s="4">
        <v>1</v>
      </c>
      <c r="D64" s="4" t="s">
        <v>142</v>
      </c>
      <c r="E64" s="4" t="s">
        <v>9</v>
      </c>
      <c r="F64" s="4" t="s">
        <v>26</v>
      </c>
      <c r="G64" s="4" t="s">
        <v>132</v>
      </c>
      <c r="H64" s="4" t="s">
        <v>143</v>
      </c>
      <c r="I64" s="4" t="s">
        <v>70</v>
      </c>
      <c r="J64" s="4" t="s">
        <v>84</v>
      </c>
    </row>
    <row r="65" ht="28.5" customHeight="1" spans="1:10">
      <c r="A65" s="4" t="s">
        <v>368</v>
      </c>
      <c r="B65" s="4" t="s">
        <v>144</v>
      </c>
      <c r="C65" s="4">
        <v>1</v>
      </c>
      <c r="D65" s="4" t="s">
        <v>145</v>
      </c>
      <c r="E65" s="4" t="s">
        <v>9</v>
      </c>
      <c r="F65" s="4" t="s">
        <v>23</v>
      </c>
      <c r="G65" s="4" t="s">
        <v>132</v>
      </c>
      <c r="H65" s="4" t="s">
        <v>146</v>
      </c>
      <c r="I65" s="4" t="s">
        <v>70</v>
      </c>
      <c r="J65" s="4" t="s">
        <v>89</v>
      </c>
    </row>
    <row r="66" ht="28.5" customHeight="1" spans="1:10">
      <c r="A66" s="4" t="s">
        <v>369</v>
      </c>
      <c r="B66" s="4" t="s">
        <v>144</v>
      </c>
      <c r="C66" s="4">
        <v>2</v>
      </c>
      <c r="D66" s="4" t="s">
        <v>145</v>
      </c>
      <c r="E66" s="4" t="s">
        <v>9</v>
      </c>
      <c r="F66" s="4" t="s">
        <v>23</v>
      </c>
      <c r="G66" s="4" t="s">
        <v>132</v>
      </c>
      <c r="H66" s="4" t="s">
        <v>146</v>
      </c>
      <c r="I66" s="4" t="s">
        <v>70</v>
      </c>
      <c r="J66" s="4" t="s">
        <v>89</v>
      </c>
    </row>
    <row r="67" ht="28.5" customHeight="1" spans="1:10">
      <c r="A67" s="4" t="s">
        <v>370</v>
      </c>
      <c r="B67" s="4" t="s">
        <v>144</v>
      </c>
      <c r="C67" s="4">
        <v>3</v>
      </c>
      <c r="D67" s="4" t="s">
        <v>145</v>
      </c>
      <c r="E67" s="4" t="s">
        <v>9</v>
      </c>
      <c r="F67" s="4" t="s">
        <v>23</v>
      </c>
      <c r="G67" s="4" t="s">
        <v>132</v>
      </c>
      <c r="H67" s="4" t="s">
        <v>146</v>
      </c>
      <c r="I67" s="4" t="s">
        <v>70</v>
      </c>
      <c r="J67" s="4" t="s">
        <v>89</v>
      </c>
    </row>
    <row r="68" ht="28.5" customHeight="1" spans="1:10">
      <c r="A68" s="4" t="s">
        <v>371</v>
      </c>
      <c r="B68" s="4" t="s">
        <v>147</v>
      </c>
      <c r="C68" s="4">
        <v>1</v>
      </c>
      <c r="D68" s="4" t="s">
        <v>148</v>
      </c>
      <c r="E68" s="4" t="s">
        <v>9</v>
      </c>
      <c r="F68" s="4" t="s">
        <v>23</v>
      </c>
      <c r="G68" s="4" t="s">
        <v>132</v>
      </c>
      <c r="H68" s="4" t="s">
        <v>146</v>
      </c>
      <c r="I68" s="4" t="s">
        <v>70</v>
      </c>
      <c r="J68" s="4" t="s">
        <v>89</v>
      </c>
    </row>
    <row r="69" ht="28.5" customHeight="1" spans="1:10">
      <c r="A69" s="4" t="s">
        <v>372</v>
      </c>
      <c r="B69" s="4" t="s">
        <v>147</v>
      </c>
      <c r="C69" s="4">
        <v>2</v>
      </c>
      <c r="D69" s="4" t="s">
        <v>148</v>
      </c>
      <c r="E69" s="4" t="s">
        <v>9</v>
      </c>
      <c r="F69" s="4" t="s">
        <v>23</v>
      </c>
      <c r="G69" s="4" t="s">
        <v>132</v>
      </c>
      <c r="H69" s="4" t="s">
        <v>146</v>
      </c>
      <c r="I69" s="4" t="s">
        <v>70</v>
      </c>
      <c r="J69" s="4" t="s">
        <v>89</v>
      </c>
    </row>
    <row r="70" ht="28.5" customHeight="1" spans="1:10">
      <c r="A70" s="4" t="s">
        <v>373</v>
      </c>
      <c r="B70" s="4" t="s">
        <v>147</v>
      </c>
      <c r="C70" s="4">
        <v>3</v>
      </c>
      <c r="D70" s="4" t="s">
        <v>148</v>
      </c>
      <c r="E70" s="4" t="s">
        <v>9</v>
      </c>
      <c r="F70" s="4" t="s">
        <v>23</v>
      </c>
      <c r="G70" s="4" t="s">
        <v>132</v>
      </c>
      <c r="H70" s="4" t="s">
        <v>146</v>
      </c>
      <c r="I70" s="4" t="s">
        <v>70</v>
      </c>
      <c r="J70" s="4" t="s">
        <v>89</v>
      </c>
    </row>
    <row r="71" ht="28.5" customHeight="1" spans="1:10">
      <c r="A71" s="4" t="s">
        <v>374</v>
      </c>
      <c r="B71" s="4" t="s">
        <v>149</v>
      </c>
      <c r="C71" s="4">
        <v>1</v>
      </c>
      <c r="D71" s="4" t="s">
        <v>150</v>
      </c>
      <c r="E71" s="4" t="s">
        <v>9</v>
      </c>
      <c r="F71" s="4" t="s">
        <v>23</v>
      </c>
      <c r="G71" s="4" t="s">
        <v>132</v>
      </c>
      <c r="H71" s="4" t="s">
        <v>146</v>
      </c>
      <c r="I71" s="4" t="s">
        <v>70</v>
      </c>
      <c r="J71" s="4" t="s">
        <v>89</v>
      </c>
    </row>
    <row r="72" ht="28.5" customHeight="1" spans="1:10">
      <c r="A72" s="4" t="s">
        <v>375</v>
      </c>
      <c r="B72" s="4" t="s">
        <v>149</v>
      </c>
      <c r="C72" s="4">
        <v>2</v>
      </c>
      <c r="D72" s="4" t="s">
        <v>150</v>
      </c>
      <c r="E72" s="4" t="s">
        <v>9</v>
      </c>
      <c r="F72" s="4" t="s">
        <v>23</v>
      </c>
      <c r="G72" s="4" t="s">
        <v>132</v>
      </c>
      <c r="H72" s="4" t="s">
        <v>146</v>
      </c>
      <c r="I72" s="4" t="s">
        <v>70</v>
      </c>
      <c r="J72" s="4" t="s">
        <v>89</v>
      </c>
    </row>
    <row r="73" ht="28.5" customHeight="1" spans="1:10">
      <c r="A73" s="4" t="s">
        <v>376</v>
      </c>
      <c r="B73" s="4" t="s">
        <v>149</v>
      </c>
      <c r="C73" s="4">
        <v>3</v>
      </c>
      <c r="D73" s="4" t="s">
        <v>150</v>
      </c>
      <c r="E73" s="4" t="s">
        <v>9</v>
      </c>
      <c r="F73" s="4" t="s">
        <v>23</v>
      </c>
      <c r="G73" s="4" t="s">
        <v>132</v>
      </c>
      <c r="H73" s="4" t="s">
        <v>146</v>
      </c>
      <c r="I73" s="4" t="s">
        <v>70</v>
      </c>
      <c r="J73" s="4" t="s">
        <v>89</v>
      </c>
    </row>
    <row r="74" ht="28.5" customHeight="1" spans="1:10">
      <c r="A74" s="4" t="s">
        <v>377</v>
      </c>
      <c r="B74" s="4" t="s">
        <v>151</v>
      </c>
      <c r="C74" s="4">
        <v>1</v>
      </c>
      <c r="D74" s="4" t="s">
        <v>152</v>
      </c>
      <c r="E74" s="4" t="s">
        <v>9</v>
      </c>
      <c r="F74" s="4" t="s">
        <v>24</v>
      </c>
      <c r="G74" s="4" t="s">
        <v>132</v>
      </c>
      <c r="H74" s="4" t="s">
        <v>153</v>
      </c>
      <c r="I74" s="4" t="s">
        <v>70</v>
      </c>
      <c r="J74" s="4" t="s">
        <v>98</v>
      </c>
    </row>
    <row r="75" ht="28.5" customHeight="1" spans="1:10">
      <c r="A75" s="4" t="s">
        <v>378</v>
      </c>
      <c r="B75" s="4" t="s">
        <v>151</v>
      </c>
      <c r="C75" s="4">
        <v>2</v>
      </c>
      <c r="D75" s="4" t="s">
        <v>152</v>
      </c>
      <c r="E75" s="4" t="s">
        <v>9</v>
      </c>
      <c r="F75" s="4" t="s">
        <v>24</v>
      </c>
      <c r="G75" s="4" t="s">
        <v>132</v>
      </c>
      <c r="H75" s="4" t="s">
        <v>153</v>
      </c>
      <c r="I75" s="4" t="s">
        <v>70</v>
      </c>
      <c r="J75" s="4" t="s">
        <v>98</v>
      </c>
    </row>
    <row r="76" ht="28.5" customHeight="1" spans="1:10">
      <c r="A76" s="4" t="s">
        <v>379</v>
      </c>
      <c r="B76" s="4" t="s">
        <v>154</v>
      </c>
      <c r="C76" s="4">
        <v>1</v>
      </c>
      <c r="D76" s="4" t="s">
        <v>155</v>
      </c>
      <c r="E76" s="4" t="s">
        <v>9</v>
      </c>
      <c r="F76" s="4" t="s">
        <v>26</v>
      </c>
      <c r="G76" s="4" t="s">
        <v>132</v>
      </c>
      <c r="H76" s="4" t="s">
        <v>156</v>
      </c>
      <c r="I76" s="4" t="s">
        <v>70</v>
      </c>
      <c r="J76" s="4" t="s">
        <v>102</v>
      </c>
    </row>
    <row r="77" ht="28.5" customHeight="1" spans="1:10">
      <c r="A77" s="4" t="s">
        <v>380</v>
      </c>
      <c r="B77" s="4" t="s">
        <v>157</v>
      </c>
      <c r="C77" s="4">
        <v>1</v>
      </c>
      <c r="D77" s="4" t="s">
        <v>158</v>
      </c>
      <c r="E77" s="4" t="s">
        <v>9</v>
      </c>
      <c r="F77" s="4" t="s">
        <v>23</v>
      </c>
      <c r="G77" s="4" t="s">
        <v>159</v>
      </c>
      <c r="H77" s="4" t="s">
        <v>160</v>
      </c>
      <c r="I77" s="4" t="s">
        <v>70</v>
      </c>
      <c r="J77" s="4" t="s">
        <v>71</v>
      </c>
    </row>
    <row r="78" ht="28.5" customHeight="1" spans="1:10">
      <c r="A78" s="4" t="s">
        <v>381</v>
      </c>
      <c r="B78" s="4" t="s">
        <v>157</v>
      </c>
      <c r="C78" s="4">
        <v>2</v>
      </c>
      <c r="D78" s="4" t="s">
        <v>158</v>
      </c>
      <c r="E78" s="4" t="s">
        <v>9</v>
      </c>
      <c r="F78" s="4" t="s">
        <v>23</v>
      </c>
      <c r="G78" s="4" t="s">
        <v>159</v>
      </c>
      <c r="H78" s="4" t="s">
        <v>160</v>
      </c>
      <c r="I78" s="4" t="s">
        <v>70</v>
      </c>
      <c r="J78" s="4" t="s">
        <v>71</v>
      </c>
    </row>
    <row r="79" ht="28.5" customHeight="1" spans="1:10">
      <c r="A79" s="4" t="s">
        <v>382</v>
      </c>
      <c r="B79" s="4" t="s">
        <v>157</v>
      </c>
      <c r="C79" s="4">
        <v>3</v>
      </c>
      <c r="D79" s="4" t="s">
        <v>158</v>
      </c>
      <c r="E79" s="4" t="s">
        <v>9</v>
      </c>
      <c r="F79" s="4" t="s">
        <v>23</v>
      </c>
      <c r="G79" s="4" t="s">
        <v>159</v>
      </c>
      <c r="H79" s="4" t="s">
        <v>160</v>
      </c>
      <c r="I79" s="4" t="s">
        <v>70</v>
      </c>
      <c r="J79" s="4" t="s">
        <v>71</v>
      </c>
    </row>
    <row r="80" ht="28.5" customHeight="1" spans="1:10">
      <c r="A80" s="4" t="s">
        <v>383</v>
      </c>
      <c r="B80" s="4" t="s">
        <v>161</v>
      </c>
      <c r="C80" s="4">
        <v>1</v>
      </c>
      <c r="D80" s="4" t="s">
        <v>162</v>
      </c>
      <c r="E80" s="4" t="s">
        <v>9</v>
      </c>
      <c r="F80" s="4" t="s">
        <v>23</v>
      </c>
      <c r="G80" s="4" t="s">
        <v>159</v>
      </c>
      <c r="H80" s="4" t="s">
        <v>160</v>
      </c>
      <c r="I80" s="4" t="s">
        <v>70</v>
      </c>
      <c r="J80" s="4" t="s">
        <v>71</v>
      </c>
    </row>
    <row r="81" ht="28.5" customHeight="1" spans="1:10">
      <c r="A81" s="4" t="s">
        <v>384</v>
      </c>
      <c r="B81" s="4" t="s">
        <v>161</v>
      </c>
      <c r="C81" s="4">
        <v>2</v>
      </c>
      <c r="D81" s="4" t="s">
        <v>162</v>
      </c>
      <c r="E81" s="4" t="s">
        <v>9</v>
      </c>
      <c r="F81" s="4" t="s">
        <v>23</v>
      </c>
      <c r="G81" s="4" t="s">
        <v>159</v>
      </c>
      <c r="H81" s="4" t="s">
        <v>160</v>
      </c>
      <c r="I81" s="4" t="s">
        <v>70</v>
      </c>
      <c r="J81" s="4" t="s">
        <v>71</v>
      </c>
    </row>
    <row r="82" ht="28.5" customHeight="1" spans="1:10">
      <c r="A82" s="4" t="s">
        <v>385</v>
      </c>
      <c r="B82" s="4" t="s">
        <v>161</v>
      </c>
      <c r="C82" s="4">
        <v>3</v>
      </c>
      <c r="D82" s="4" t="s">
        <v>162</v>
      </c>
      <c r="E82" s="4" t="s">
        <v>9</v>
      </c>
      <c r="F82" s="4" t="s">
        <v>23</v>
      </c>
      <c r="G82" s="4" t="s">
        <v>159</v>
      </c>
      <c r="H82" s="4" t="s">
        <v>160</v>
      </c>
      <c r="I82" s="4" t="s">
        <v>70</v>
      </c>
      <c r="J82" s="4" t="s">
        <v>71</v>
      </c>
    </row>
    <row r="83" ht="28.5" customHeight="1" spans="1:10">
      <c r="A83" s="4" t="s">
        <v>386</v>
      </c>
      <c r="B83" s="4" t="s">
        <v>163</v>
      </c>
      <c r="C83" s="4">
        <v>1</v>
      </c>
      <c r="D83" s="4" t="s">
        <v>164</v>
      </c>
      <c r="E83" s="4" t="s">
        <v>9</v>
      </c>
      <c r="F83" s="4" t="s">
        <v>23</v>
      </c>
      <c r="G83" s="4" t="s">
        <v>159</v>
      </c>
      <c r="H83" s="4" t="s">
        <v>160</v>
      </c>
      <c r="I83" s="4" t="s">
        <v>70</v>
      </c>
      <c r="J83" s="4" t="s">
        <v>71</v>
      </c>
    </row>
    <row r="84" ht="28.5" customHeight="1" spans="1:10">
      <c r="A84" s="4" t="s">
        <v>387</v>
      </c>
      <c r="B84" s="4" t="s">
        <v>163</v>
      </c>
      <c r="C84" s="4">
        <v>2</v>
      </c>
      <c r="D84" s="4" t="s">
        <v>164</v>
      </c>
      <c r="E84" s="4" t="s">
        <v>9</v>
      </c>
      <c r="F84" s="4" t="s">
        <v>23</v>
      </c>
      <c r="G84" s="4" t="s">
        <v>159</v>
      </c>
      <c r="H84" s="4" t="s">
        <v>160</v>
      </c>
      <c r="I84" s="4" t="s">
        <v>70</v>
      </c>
      <c r="J84" s="4" t="s">
        <v>71</v>
      </c>
    </row>
    <row r="85" ht="28.5" customHeight="1" spans="1:10">
      <c r="A85" s="4" t="s">
        <v>388</v>
      </c>
      <c r="B85" s="4" t="s">
        <v>163</v>
      </c>
      <c r="C85" s="4">
        <v>3</v>
      </c>
      <c r="D85" s="4" t="s">
        <v>164</v>
      </c>
      <c r="E85" s="4" t="s">
        <v>9</v>
      </c>
      <c r="F85" s="4" t="s">
        <v>23</v>
      </c>
      <c r="G85" s="4" t="s">
        <v>159</v>
      </c>
      <c r="H85" s="4" t="s">
        <v>160</v>
      </c>
      <c r="I85" s="4" t="s">
        <v>70</v>
      </c>
      <c r="J85" s="4" t="s">
        <v>71</v>
      </c>
    </row>
    <row r="86" ht="28.5" customHeight="1" spans="1:10">
      <c r="A86" s="4" t="s">
        <v>389</v>
      </c>
      <c r="B86" s="4" t="s">
        <v>165</v>
      </c>
      <c r="C86" s="4">
        <v>1</v>
      </c>
      <c r="D86" s="4" t="s">
        <v>166</v>
      </c>
      <c r="E86" s="4" t="s">
        <v>9</v>
      </c>
      <c r="F86" s="4" t="s">
        <v>24</v>
      </c>
      <c r="G86" s="4" t="s">
        <v>159</v>
      </c>
      <c r="H86" s="4" t="s">
        <v>167</v>
      </c>
      <c r="I86" s="4" t="s">
        <v>70</v>
      </c>
      <c r="J86" s="4" t="s">
        <v>80</v>
      </c>
    </row>
    <row r="87" ht="28.5" customHeight="1" spans="1:10">
      <c r="A87" s="4" t="s">
        <v>390</v>
      </c>
      <c r="B87" s="4" t="s">
        <v>165</v>
      </c>
      <c r="C87" s="4">
        <v>2</v>
      </c>
      <c r="D87" s="4" t="s">
        <v>166</v>
      </c>
      <c r="E87" s="4" t="s">
        <v>9</v>
      </c>
      <c r="F87" s="4" t="s">
        <v>24</v>
      </c>
      <c r="G87" s="4" t="s">
        <v>159</v>
      </c>
      <c r="H87" s="4" t="s">
        <v>167</v>
      </c>
      <c r="I87" s="4" t="s">
        <v>70</v>
      </c>
      <c r="J87" s="4" t="s">
        <v>80</v>
      </c>
    </row>
    <row r="88" ht="28.5" customHeight="1" spans="1:10">
      <c r="A88" s="4" t="s">
        <v>391</v>
      </c>
      <c r="B88" s="4" t="s">
        <v>168</v>
      </c>
      <c r="C88" s="4">
        <v>1</v>
      </c>
      <c r="D88" s="4" t="s">
        <v>169</v>
      </c>
      <c r="E88" s="4" t="s">
        <v>9</v>
      </c>
      <c r="F88" s="4" t="s">
        <v>26</v>
      </c>
      <c r="G88" s="4" t="s">
        <v>159</v>
      </c>
      <c r="H88" s="4" t="s">
        <v>170</v>
      </c>
      <c r="I88" s="4" t="s">
        <v>70</v>
      </c>
      <c r="J88" s="4" t="s">
        <v>84</v>
      </c>
    </row>
    <row r="89" ht="28.5" customHeight="1" spans="1:10">
      <c r="A89" s="4" t="s">
        <v>392</v>
      </c>
      <c r="B89" s="4" t="s">
        <v>171</v>
      </c>
      <c r="C89" s="4">
        <v>1</v>
      </c>
      <c r="D89" s="4" t="s">
        <v>172</v>
      </c>
      <c r="E89" s="4" t="s">
        <v>9</v>
      </c>
      <c r="F89" s="4" t="s">
        <v>23</v>
      </c>
      <c r="G89" s="4" t="s">
        <v>159</v>
      </c>
      <c r="H89" s="4" t="s">
        <v>173</v>
      </c>
      <c r="I89" s="4" t="s">
        <v>70</v>
      </c>
      <c r="J89" s="4" t="s">
        <v>89</v>
      </c>
    </row>
    <row r="90" ht="28.5" customHeight="1" spans="1:10">
      <c r="A90" s="4" t="s">
        <v>393</v>
      </c>
      <c r="B90" s="4" t="s">
        <v>171</v>
      </c>
      <c r="C90" s="4">
        <v>2</v>
      </c>
      <c r="D90" s="4" t="s">
        <v>172</v>
      </c>
      <c r="E90" s="4" t="s">
        <v>9</v>
      </c>
      <c r="F90" s="4" t="s">
        <v>23</v>
      </c>
      <c r="G90" s="4" t="s">
        <v>159</v>
      </c>
      <c r="H90" s="4" t="s">
        <v>173</v>
      </c>
      <c r="I90" s="4" t="s">
        <v>70</v>
      </c>
      <c r="J90" s="4" t="s">
        <v>89</v>
      </c>
    </row>
    <row r="91" ht="28.5" customHeight="1" spans="1:10">
      <c r="A91" s="4" t="s">
        <v>394</v>
      </c>
      <c r="B91" s="4" t="s">
        <v>171</v>
      </c>
      <c r="C91" s="4">
        <v>3</v>
      </c>
      <c r="D91" s="4" t="s">
        <v>172</v>
      </c>
      <c r="E91" s="4" t="s">
        <v>9</v>
      </c>
      <c r="F91" s="4" t="s">
        <v>23</v>
      </c>
      <c r="G91" s="4" t="s">
        <v>159</v>
      </c>
      <c r="H91" s="4" t="s">
        <v>173</v>
      </c>
      <c r="I91" s="4" t="s">
        <v>70</v>
      </c>
      <c r="J91" s="4" t="s">
        <v>89</v>
      </c>
    </row>
    <row r="92" ht="28.5" customHeight="1" spans="1:10">
      <c r="A92" s="4" t="s">
        <v>395</v>
      </c>
      <c r="B92" s="4" t="s">
        <v>174</v>
      </c>
      <c r="C92" s="4">
        <v>1</v>
      </c>
      <c r="D92" s="4" t="s">
        <v>175</v>
      </c>
      <c r="E92" s="4" t="s">
        <v>9</v>
      </c>
      <c r="F92" s="4" t="s">
        <v>23</v>
      </c>
      <c r="G92" s="4" t="s">
        <v>159</v>
      </c>
      <c r="H92" s="4" t="s">
        <v>173</v>
      </c>
      <c r="I92" s="4" t="s">
        <v>70</v>
      </c>
      <c r="J92" s="4" t="s">
        <v>89</v>
      </c>
    </row>
    <row r="93" ht="28.5" customHeight="1" spans="1:10">
      <c r="A93" s="4" t="s">
        <v>396</v>
      </c>
      <c r="B93" s="4" t="s">
        <v>174</v>
      </c>
      <c r="C93" s="4">
        <v>2</v>
      </c>
      <c r="D93" s="4" t="s">
        <v>175</v>
      </c>
      <c r="E93" s="4" t="s">
        <v>9</v>
      </c>
      <c r="F93" s="4" t="s">
        <v>23</v>
      </c>
      <c r="G93" s="4" t="s">
        <v>159</v>
      </c>
      <c r="H93" s="4" t="s">
        <v>173</v>
      </c>
      <c r="I93" s="4" t="s">
        <v>70</v>
      </c>
      <c r="J93" s="4" t="s">
        <v>89</v>
      </c>
    </row>
    <row r="94" ht="28.5" customHeight="1" spans="1:10">
      <c r="A94" s="4" t="s">
        <v>397</v>
      </c>
      <c r="B94" s="4" t="s">
        <v>174</v>
      </c>
      <c r="C94" s="4">
        <v>3</v>
      </c>
      <c r="D94" s="4" t="s">
        <v>175</v>
      </c>
      <c r="E94" s="4" t="s">
        <v>9</v>
      </c>
      <c r="F94" s="4" t="s">
        <v>23</v>
      </c>
      <c r="G94" s="4" t="s">
        <v>159</v>
      </c>
      <c r="H94" s="4" t="s">
        <v>173</v>
      </c>
      <c r="I94" s="4" t="s">
        <v>70</v>
      </c>
      <c r="J94" s="4" t="s">
        <v>89</v>
      </c>
    </row>
    <row r="95" ht="28.5" customHeight="1" spans="1:10">
      <c r="A95" s="4" t="s">
        <v>398</v>
      </c>
      <c r="B95" s="4" t="s">
        <v>176</v>
      </c>
      <c r="C95" s="4">
        <v>1</v>
      </c>
      <c r="D95" s="4" t="s">
        <v>177</v>
      </c>
      <c r="E95" s="4" t="s">
        <v>9</v>
      </c>
      <c r="F95" s="4" t="s">
        <v>23</v>
      </c>
      <c r="G95" s="4" t="s">
        <v>159</v>
      </c>
      <c r="H95" s="4" t="s">
        <v>173</v>
      </c>
      <c r="I95" s="4" t="s">
        <v>70</v>
      </c>
      <c r="J95" s="4" t="s">
        <v>89</v>
      </c>
    </row>
    <row r="96" ht="28.5" customHeight="1" spans="1:10">
      <c r="A96" s="4" t="s">
        <v>399</v>
      </c>
      <c r="B96" s="4" t="s">
        <v>176</v>
      </c>
      <c r="C96" s="4">
        <v>2</v>
      </c>
      <c r="D96" s="4" t="s">
        <v>177</v>
      </c>
      <c r="E96" s="4" t="s">
        <v>9</v>
      </c>
      <c r="F96" s="4" t="s">
        <v>23</v>
      </c>
      <c r="G96" s="4" t="s">
        <v>159</v>
      </c>
      <c r="H96" s="4" t="s">
        <v>173</v>
      </c>
      <c r="I96" s="4" t="s">
        <v>70</v>
      </c>
      <c r="J96" s="4" t="s">
        <v>89</v>
      </c>
    </row>
    <row r="97" ht="28.5" customHeight="1" spans="1:10">
      <c r="A97" s="4" t="s">
        <v>400</v>
      </c>
      <c r="B97" s="4" t="s">
        <v>176</v>
      </c>
      <c r="C97" s="4">
        <v>3</v>
      </c>
      <c r="D97" s="4" t="s">
        <v>177</v>
      </c>
      <c r="E97" s="4" t="s">
        <v>9</v>
      </c>
      <c r="F97" s="4" t="s">
        <v>23</v>
      </c>
      <c r="G97" s="4" t="s">
        <v>159</v>
      </c>
      <c r="H97" s="4" t="s">
        <v>173</v>
      </c>
      <c r="I97" s="4" t="s">
        <v>70</v>
      </c>
      <c r="J97" s="4" t="s">
        <v>89</v>
      </c>
    </row>
    <row r="98" ht="28.5" customHeight="1" spans="1:10">
      <c r="A98" s="4" t="s">
        <v>401</v>
      </c>
      <c r="B98" s="4" t="s">
        <v>178</v>
      </c>
      <c r="C98" s="4">
        <v>1</v>
      </c>
      <c r="D98" s="4" t="s">
        <v>179</v>
      </c>
      <c r="E98" s="4" t="s">
        <v>9</v>
      </c>
      <c r="F98" s="4" t="s">
        <v>24</v>
      </c>
      <c r="G98" s="4" t="s">
        <v>159</v>
      </c>
      <c r="H98" s="4" t="s">
        <v>180</v>
      </c>
      <c r="I98" s="4" t="s">
        <v>70</v>
      </c>
      <c r="J98" s="4" t="s">
        <v>98</v>
      </c>
    </row>
    <row r="99" ht="28.5" customHeight="1" spans="1:10">
      <c r="A99" s="4" t="s">
        <v>402</v>
      </c>
      <c r="B99" s="4" t="s">
        <v>178</v>
      </c>
      <c r="C99" s="4">
        <v>2</v>
      </c>
      <c r="D99" s="4" t="s">
        <v>179</v>
      </c>
      <c r="E99" s="4" t="s">
        <v>9</v>
      </c>
      <c r="F99" s="4" t="s">
        <v>24</v>
      </c>
      <c r="G99" s="4" t="s">
        <v>159</v>
      </c>
      <c r="H99" s="4" t="s">
        <v>180</v>
      </c>
      <c r="I99" s="4" t="s">
        <v>70</v>
      </c>
      <c r="J99" s="4" t="s">
        <v>98</v>
      </c>
    </row>
    <row r="100" ht="28.5" customHeight="1" spans="1:10">
      <c r="A100" s="4" t="s">
        <v>403</v>
      </c>
      <c r="B100" s="4" t="s">
        <v>181</v>
      </c>
      <c r="C100" s="4">
        <v>1</v>
      </c>
      <c r="D100" s="4" t="s">
        <v>182</v>
      </c>
      <c r="E100" s="4" t="s">
        <v>9</v>
      </c>
      <c r="F100" s="4" t="s">
        <v>26</v>
      </c>
      <c r="G100" s="4" t="s">
        <v>159</v>
      </c>
      <c r="H100" s="4" t="s">
        <v>183</v>
      </c>
      <c r="I100" s="4" t="s">
        <v>70</v>
      </c>
      <c r="J100" s="4" t="s">
        <v>102</v>
      </c>
    </row>
    <row r="101" ht="28.5" customHeight="1" spans="1:10">
      <c r="A101" s="4" t="s">
        <v>404</v>
      </c>
      <c r="B101" s="4" t="s">
        <v>184</v>
      </c>
      <c r="C101" s="4">
        <v>1</v>
      </c>
      <c r="D101" s="4" t="s">
        <v>185</v>
      </c>
      <c r="E101" s="4" t="s">
        <v>11</v>
      </c>
      <c r="F101" s="4" t="s">
        <v>23</v>
      </c>
      <c r="G101" s="4" t="s">
        <v>187</v>
      </c>
      <c r="H101" s="4" t="s">
        <v>188</v>
      </c>
      <c r="I101" s="4" t="s">
        <v>70</v>
      </c>
      <c r="J101" s="4" t="s">
        <v>189</v>
      </c>
    </row>
    <row r="102" ht="28.5" customHeight="1" spans="1:10">
      <c r="A102" s="4" t="s">
        <v>405</v>
      </c>
      <c r="B102" s="4" t="s">
        <v>184</v>
      </c>
      <c r="C102" s="4">
        <v>2</v>
      </c>
      <c r="D102" s="4" t="s">
        <v>185</v>
      </c>
      <c r="E102" s="4" t="s">
        <v>11</v>
      </c>
      <c r="F102" s="4" t="s">
        <v>23</v>
      </c>
      <c r="G102" s="4" t="s">
        <v>187</v>
      </c>
      <c r="H102" s="4" t="s">
        <v>188</v>
      </c>
      <c r="I102" s="4" t="s">
        <v>70</v>
      </c>
      <c r="J102" s="4" t="s">
        <v>189</v>
      </c>
    </row>
    <row r="103" ht="28.5" customHeight="1" spans="1:10">
      <c r="A103" s="4" t="s">
        <v>406</v>
      </c>
      <c r="B103" s="4" t="s">
        <v>190</v>
      </c>
      <c r="C103" s="4">
        <v>1</v>
      </c>
      <c r="D103" s="4" t="s">
        <v>191</v>
      </c>
      <c r="E103" s="4" t="s">
        <v>11</v>
      </c>
      <c r="F103" s="4" t="s">
        <v>23</v>
      </c>
      <c r="G103" s="4" t="s">
        <v>187</v>
      </c>
      <c r="H103" s="4" t="s">
        <v>193</v>
      </c>
      <c r="I103" s="4" t="s">
        <v>70</v>
      </c>
      <c r="J103" s="4" t="s">
        <v>189</v>
      </c>
    </row>
    <row r="104" ht="28.5" customHeight="1" spans="1:10">
      <c r="A104" s="4" t="s">
        <v>407</v>
      </c>
      <c r="B104" s="4" t="s">
        <v>190</v>
      </c>
      <c r="C104" s="4">
        <v>2</v>
      </c>
      <c r="D104" s="4" t="s">
        <v>191</v>
      </c>
      <c r="E104" s="4" t="s">
        <v>11</v>
      </c>
      <c r="F104" s="4" t="s">
        <v>23</v>
      </c>
      <c r="G104" s="4" t="s">
        <v>187</v>
      </c>
      <c r="H104" s="4" t="s">
        <v>193</v>
      </c>
      <c r="I104" s="4" t="s">
        <v>70</v>
      </c>
      <c r="J104" s="4" t="s">
        <v>189</v>
      </c>
    </row>
    <row r="105" ht="28.5" customHeight="1" spans="1:10">
      <c r="A105" s="4" t="s">
        <v>408</v>
      </c>
      <c r="B105" s="4" t="s">
        <v>194</v>
      </c>
      <c r="C105" s="4">
        <v>1</v>
      </c>
      <c r="D105" s="4" t="s">
        <v>195</v>
      </c>
      <c r="E105" s="4" t="s">
        <v>11</v>
      </c>
      <c r="F105" s="4" t="s">
        <v>23</v>
      </c>
      <c r="G105" s="4" t="s">
        <v>196</v>
      </c>
      <c r="H105" s="4" t="s">
        <v>197</v>
      </c>
      <c r="I105" s="4" t="s">
        <v>70</v>
      </c>
      <c r="J105" s="4" t="s">
        <v>189</v>
      </c>
    </row>
    <row r="106" ht="28.5" customHeight="1" spans="1:10">
      <c r="A106" s="4" t="s">
        <v>409</v>
      </c>
      <c r="B106" s="4" t="s">
        <v>194</v>
      </c>
      <c r="C106" s="4">
        <v>2</v>
      </c>
      <c r="D106" s="4" t="s">
        <v>195</v>
      </c>
      <c r="E106" s="4" t="s">
        <v>11</v>
      </c>
      <c r="F106" s="4" t="s">
        <v>23</v>
      </c>
      <c r="G106" s="4" t="s">
        <v>196</v>
      </c>
      <c r="H106" s="4" t="s">
        <v>197</v>
      </c>
      <c r="I106" s="4" t="s">
        <v>70</v>
      </c>
      <c r="J106" s="4" t="s">
        <v>189</v>
      </c>
    </row>
    <row r="107" ht="28.5" customHeight="1" spans="1:10">
      <c r="A107" s="4" t="s">
        <v>410</v>
      </c>
      <c r="B107" s="4" t="s">
        <v>198</v>
      </c>
      <c r="C107" s="4">
        <v>1</v>
      </c>
      <c r="D107" s="4" t="s">
        <v>199</v>
      </c>
      <c r="E107" s="4" t="s">
        <v>11</v>
      </c>
      <c r="F107" s="4" t="s">
        <v>23</v>
      </c>
      <c r="G107" s="4" t="s">
        <v>196</v>
      </c>
      <c r="H107" s="4" t="s">
        <v>200</v>
      </c>
      <c r="I107" s="4" t="s">
        <v>70</v>
      </c>
      <c r="J107" s="4" t="s">
        <v>189</v>
      </c>
    </row>
    <row r="108" ht="28.5" customHeight="1" spans="1:10">
      <c r="A108" s="4" t="s">
        <v>411</v>
      </c>
      <c r="B108" s="4" t="s">
        <v>198</v>
      </c>
      <c r="C108" s="4">
        <v>2</v>
      </c>
      <c r="D108" s="4" t="s">
        <v>199</v>
      </c>
      <c r="E108" s="4" t="s">
        <v>11</v>
      </c>
      <c r="F108" s="4" t="s">
        <v>23</v>
      </c>
      <c r="G108" s="4" t="s">
        <v>196</v>
      </c>
      <c r="H108" s="4" t="s">
        <v>200</v>
      </c>
      <c r="I108" s="4" t="s">
        <v>70</v>
      </c>
      <c r="J108" s="4" t="s">
        <v>189</v>
      </c>
    </row>
    <row r="109" ht="28.5" customHeight="1" spans="1:10">
      <c r="A109" s="4" t="s">
        <v>412</v>
      </c>
      <c r="B109" s="4" t="s">
        <v>201</v>
      </c>
      <c r="C109" s="4">
        <v>1</v>
      </c>
      <c r="D109" s="4" t="s">
        <v>202</v>
      </c>
      <c r="E109" s="4" t="s">
        <v>11</v>
      </c>
      <c r="F109" s="4" t="s">
        <v>23</v>
      </c>
      <c r="G109" s="4" t="s">
        <v>203</v>
      </c>
      <c r="H109" s="4" t="s">
        <v>204</v>
      </c>
      <c r="I109" s="4" t="s">
        <v>70</v>
      </c>
      <c r="J109" s="4" t="s">
        <v>189</v>
      </c>
    </row>
    <row r="110" ht="28.5" customHeight="1" spans="1:10">
      <c r="A110" s="4" t="s">
        <v>413</v>
      </c>
      <c r="B110" s="4" t="s">
        <v>201</v>
      </c>
      <c r="C110" s="4">
        <v>2</v>
      </c>
      <c r="D110" s="4" t="s">
        <v>202</v>
      </c>
      <c r="E110" s="4" t="s">
        <v>11</v>
      </c>
      <c r="F110" s="4" t="s">
        <v>23</v>
      </c>
      <c r="G110" s="4" t="s">
        <v>203</v>
      </c>
      <c r="H110" s="4" t="s">
        <v>204</v>
      </c>
      <c r="I110" s="4" t="s">
        <v>70</v>
      </c>
      <c r="J110" s="4" t="s">
        <v>189</v>
      </c>
    </row>
    <row r="111" ht="28.5" customHeight="1" spans="1:10">
      <c r="A111" s="4" t="s">
        <v>414</v>
      </c>
      <c r="B111" s="4" t="s">
        <v>205</v>
      </c>
      <c r="C111" s="4">
        <v>1</v>
      </c>
      <c r="D111" s="4" t="s">
        <v>206</v>
      </c>
      <c r="E111" s="4" t="s">
        <v>11</v>
      </c>
      <c r="F111" s="4" t="s">
        <v>23</v>
      </c>
      <c r="G111" s="4" t="s">
        <v>203</v>
      </c>
      <c r="H111" s="4" t="s">
        <v>207</v>
      </c>
      <c r="I111" s="4" t="s">
        <v>70</v>
      </c>
      <c r="J111" s="4" t="s">
        <v>189</v>
      </c>
    </row>
    <row r="112" ht="28.5" customHeight="1" spans="1:10">
      <c r="A112" s="4" t="s">
        <v>415</v>
      </c>
      <c r="B112" s="4" t="s">
        <v>205</v>
      </c>
      <c r="C112" s="4">
        <v>2</v>
      </c>
      <c r="D112" s="4" t="s">
        <v>206</v>
      </c>
      <c r="E112" s="4" t="s">
        <v>11</v>
      </c>
      <c r="F112" s="4" t="s">
        <v>23</v>
      </c>
      <c r="G112" s="4" t="s">
        <v>203</v>
      </c>
      <c r="H112" s="4" t="s">
        <v>207</v>
      </c>
      <c r="I112" s="4" t="s">
        <v>70</v>
      </c>
      <c r="J112" s="4" t="s">
        <v>189</v>
      </c>
    </row>
    <row r="113" ht="28.5" customHeight="1" spans="1:10">
      <c r="A113" s="4" t="s">
        <v>416</v>
      </c>
      <c r="B113" s="4" t="s">
        <v>208</v>
      </c>
      <c r="C113" s="4">
        <v>1</v>
      </c>
      <c r="D113" s="4" t="s">
        <v>209</v>
      </c>
      <c r="E113" s="4" t="s">
        <v>11</v>
      </c>
      <c r="F113" s="4" t="s">
        <v>24</v>
      </c>
      <c r="G113" s="4" t="s">
        <v>211</v>
      </c>
      <c r="H113" s="4" t="s">
        <v>212</v>
      </c>
      <c r="I113" s="4" t="s">
        <v>70</v>
      </c>
      <c r="J113" s="4" t="s">
        <v>213</v>
      </c>
    </row>
    <row r="114" ht="28.5" customHeight="1" spans="1:10">
      <c r="A114" s="4" t="s">
        <v>417</v>
      </c>
      <c r="B114" s="4" t="s">
        <v>208</v>
      </c>
      <c r="C114" s="4">
        <v>2</v>
      </c>
      <c r="D114" s="4" t="s">
        <v>209</v>
      </c>
      <c r="E114" s="4" t="s">
        <v>11</v>
      </c>
      <c r="F114" s="4" t="s">
        <v>24</v>
      </c>
      <c r="G114" s="4" t="s">
        <v>211</v>
      </c>
      <c r="H114" s="4" t="s">
        <v>212</v>
      </c>
      <c r="I114" s="4" t="s">
        <v>70</v>
      </c>
      <c r="J114" s="4" t="s">
        <v>213</v>
      </c>
    </row>
    <row r="115" ht="28.5" customHeight="1" spans="1:10">
      <c r="A115" s="4" t="s">
        <v>418</v>
      </c>
      <c r="B115" s="4" t="s">
        <v>215</v>
      </c>
      <c r="C115" s="4">
        <v>1</v>
      </c>
      <c r="D115" s="4" t="s">
        <v>216</v>
      </c>
      <c r="E115" s="4" t="s">
        <v>11</v>
      </c>
      <c r="F115" s="4" t="s">
        <v>24</v>
      </c>
      <c r="G115" s="4" t="s">
        <v>211</v>
      </c>
      <c r="H115" s="4" t="s">
        <v>217</v>
      </c>
      <c r="I115" s="4" t="s">
        <v>70</v>
      </c>
      <c r="J115" s="4" t="s">
        <v>213</v>
      </c>
    </row>
    <row r="116" ht="28.5" customHeight="1" spans="1:10">
      <c r="A116" s="4" t="s">
        <v>419</v>
      </c>
      <c r="B116" s="4" t="s">
        <v>215</v>
      </c>
      <c r="C116" s="4">
        <v>2</v>
      </c>
      <c r="D116" s="4" t="s">
        <v>216</v>
      </c>
      <c r="E116" s="4" t="s">
        <v>11</v>
      </c>
      <c r="F116" s="4" t="s">
        <v>24</v>
      </c>
      <c r="G116" s="4" t="s">
        <v>211</v>
      </c>
      <c r="H116" s="4" t="s">
        <v>217</v>
      </c>
      <c r="I116" s="4" t="s">
        <v>70</v>
      </c>
      <c r="J116" s="4" t="s">
        <v>213</v>
      </c>
    </row>
    <row r="117" ht="28.5" customHeight="1" spans="1:10">
      <c r="A117" s="4" t="s">
        <v>420</v>
      </c>
      <c r="B117" s="4" t="s">
        <v>218</v>
      </c>
      <c r="C117" s="4">
        <v>1</v>
      </c>
      <c r="D117" s="4" t="s">
        <v>219</v>
      </c>
      <c r="E117" s="4" t="s">
        <v>11</v>
      </c>
      <c r="F117" s="4" t="s">
        <v>23</v>
      </c>
      <c r="G117" s="4" t="s">
        <v>220</v>
      </c>
      <c r="H117" s="4" t="s">
        <v>221</v>
      </c>
      <c r="I117" s="4" t="s">
        <v>70</v>
      </c>
      <c r="J117" s="4" t="s">
        <v>189</v>
      </c>
    </row>
    <row r="118" ht="28.5" customHeight="1" spans="1:10">
      <c r="A118" s="4" t="s">
        <v>421</v>
      </c>
      <c r="B118" s="4" t="s">
        <v>218</v>
      </c>
      <c r="C118" s="4">
        <v>2</v>
      </c>
      <c r="D118" s="4" t="s">
        <v>219</v>
      </c>
      <c r="E118" s="4" t="s">
        <v>11</v>
      </c>
      <c r="F118" s="4" t="s">
        <v>23</v>
      </c>
      <c r="G118" s="4" t="s">
        <v>220</v>
      </c>
      <c r="H118" s="4" t="s">
        <v>221</v>
      </c>
      <c r="I118" s="4" t="s">
        <v>70</v>
      </c>
      <c r="J118" s="4" t="s">
        <v>189</v>
      </c>
    </row>
    <row r="119" ht="28.5" customHeight="1" spans="1:10">
      <c r="A119" s="4" t="s">
        <v>422</v>
      </c>
      <c r="B119" s="4" t="s">
        <v>222</v>
      </c>
      <c r="C119" s="4">
        <v>1</v>
      </c>
      <c r="D119" s="4" t="s">
        <v>223</v>
      </c>
      <c r="E119" s="4" t="s">
        <v>11</v>
      </c>
      <c r="F119" s="4" t="s">
        <v>23</v>
      </c>
      <c r="G119" s="4" t="s">
        <v>220</v>
      </c>
      <c r="H119" s="4" t="s">
        <v>224</v>
      </c>
      <c r="I119" s="4" t="s">
        <v>70</v>
      </c>
      <c r="J119" s="4" t="s">
        <v>189</v>
      </c>
    </row>
    <row r="120" ht="28.5" customHeight="1" spans="1:10">
      <c r="A120" s="4" t="s">
        <v>423</v>
      </c>
      <c r="B120" s="4" t="s">
        <v>222</v>
      </c>
      <c r="C120" s="4">
        <v>2</v>
      </c>
      <c r="D120" s="4" t="s">
        <v>223</v>
      </c>
      <c r="E120" s="4" t="s">
        <v>11</v>
      </c>
      <c r="F120" s="4" t="s">
        <v>23</v>
      </c>
      <c r="G120" s="4" t="s">
        <v>220</v>
      </c>
      <c r="H120" s="4" t="s">
        <v>224</v>
      </c>
      <c r="I120" s="4" t="s">
        <v>70</v>
      </c>
      <c r="J120" s="4" t="s">
        <v>189</v>
      </c>
    </row>
    <row r="121" ht="28.5" customHeight="1" spans="1:10">
      <c r="A121" s="4" t="s">
        <v>424</v>
      </c>
      <c r="B121" s="4" t="s">
        <v>225</v>
      </c>
      <c r="C121" s="4">
        <v>1</v>
      </c>
      <c r="D121" s="4" t="s">
        <v>226</v>
      </c>
      <c r="E121" s="4" t="s">
        <v>11</v>
      </c>
      <c r="F121" s="4" t="s">
        <v>24</v>
      </c>
      <c r="G121" s="4" t="s">
        <v>227</v>
      </c>
      <c r="H121" s="4" t="s">
        <v>228</v>
      </c>
      <c r="I121" s="4" t="s">
        <v>70</v>
      </c>
      <c r="J121" s="4" t="s">
        <v>213</v>
      </c>
    </row>
    <row r="122" ht="28.5" customHeight="1" spans="1:10">
      <c r="A122" s="4" t="s">
        <v>425</v>
      </c>
      <c r="B122" s="4" t="s">
        <v>225</v>
      </c>
      <c r="C122" s="4">
        <v>2</v>
      </c>
      <c r="D122" s="4" t="s">
        <v>226</v>
      </c>
      <c r="E122" s="4" t="s">
        <v>11</v>
      </c>
      <c r="F122" s="4" t="s">
        <v>24</v>
      </c>
      <c r="G122" s="4" t="s">
        <v>227</v>
      </c>
      <c r="H122" s="4" t="s">
        <v>228</v>
      </c>
      <c r="I122" s="4" t="s">
        <v>70</v>
      </c>
      <c r="J122" s="4" t="s">
        <v>213</v>
      </c>
    </row>
    <row r="123" ht="28.5" customHeight="1" spans="1:10">
      <c r="A123" s="4" t="s">
        <v>426</v>
      </c>
      <c r="B123" s="4" t="s">
        <v>229</v>
      </c>
      <c r="C123" s="4">
        <v>1</v>
      </c>
      <c r="D123" s="4" t="s">
        <v>230</v>
      </c>
      <c r="E123" s="4" t="s">
        <v>11</v>
      </c>
      <c r="F123" s="4" t="s">
        <v>24</v>
      </c>
      <c r="G123" s="4" t="s">
        <v>227</v>
      </c>
      <c r="H123" s="4" t="s">
        <v>231</v>
      </c>
      <c r="I123" s="4" t="s">
        <v>70</v>
      </c>
      <c r="J123" s="4" t="s">
        <v>213</v>
      </c>
    </row>
    <row r="124" ht="28.5" customHeight="1" spans="1:10">
      <c r="A124" s="4" t="s">
        <v>427</v>
      </c>
      <c r="B124" s="4" t="s">
        <v>229</v>
      </c>
      <c r="C124" s="4">
        <v>2</v>
      </c>
      <c r="D124" s="4" t="s">
        <v>230</v>
      </c>
      <c r="E124" s="4" t="s">
        <v>11</v>
      </c>
      <c r="F124" s="4" t="s">
        <v>24</v>
      </c>
      <c r="G124" s="4" t="s">
        <v>227</v>
      </c>
      <c r="H124" s="4" t="s">
        <v>231</v>
      </c>
      <c r="I124" s="4" t="s">
        <v>70</v>
      </c>
      <c r="J124" s="4" t="s">
        <v>213</v>
      </c>
    </row>
    <row r="125" ht="28.5" customHeight="1" spans="1:10">
      <c r="A125" s="4" t="s">
        <v>428</v>
      </c>
      <c r="B125" s="4" t="s">
        <v>232</v>
      </c>
      <c r="C125" s="4">
        <v>1</v>
      </c>
      <c r="D125" s="4" t="s">
        <v>233</v>
      </c>
      <c r="E125" s="4" t="s">
        <v>13</v>
      </c>
      <c r="F125" s="4" t="s">
        <v>28</v>
      </c>
      <c r="G125" s="4" t="s">
        <v>67</v>
      </c>
      <c r="H125" s="4" t="s">
        <v>235</v>
      </c>
      <c r="I125" s="4" t="s">
        <v>236</v>
      </c>
      <c r="J125" s="4" t="s">
        <v>237</v>
      </c>
    </row>
    <row r="126" ht="28.5" customHeight="1" spans="1:10">
      <c r="A126" s="4" t="s">
        <v>429</v>
      </c>
      <c r="B126" s="4" t="s">
        <v>232</v>
      </c>
      <c r="C126" s="4">
        <v>2</v>
      </c>
      <c r="D126" s="4" t="s">
        <v>233</v>
      </c>
      <c r="E126" s="4" t="s">
        <v>13</v>
      </c>
      <c r="F126" s="4" t="s">
        <v>28</v>
      </c>
      <c r="G126" s="4" t="s">
        <v>67</v>
      </c>
      <c r="H126" s="4" t="s">
        <v>235</v>
      </c>
      <c r="I126" s="4" t="s">
        <v>236</v>
      </c>
      <c r="J126" s="4" t="s">
        <v>237</v>
      </c>
    </row>
    <row r="127" ht="28.5" customHeight="1" spans="1:10">
      <c r="A127" s="4" t="s">
        <v>430</v>
      </c>
      <c r="B127" s="4" t="s">
        <v>238</v>
      </c>
      <c r="C127" s="4">
        <v>1</v>
      </c>
      <c r="D127" s="4" t="s">
        <v>239</v>
      </c>
      <c r="E127" s="4" t="s">
        <v>13</v>
      </c>
      <c r="F127" s="4" t="s">
        <v>28</v>
      </c>
      <c r="G127" s="4" t="s">
        <v>67</v>
      </c>
      <c r="H127" s="4" t="s">
        <v>241</v>
      </c>
      <c r="I127" s="4" t="s">
        <v>236</v>
      </c>
      <c r="J127" s="4" t="s">
        <v>242</v>
      </c>
    </row>
    <row r="128" ht="28.5" customHeight="1" spans="1:10">
      <c r="A128" s="4" t="s">
        <v>431</v>
      </c>
      <c r="B128" s="4" t="s">
        <v>238</v>
      </c>
      <c r="C128" s="4">
        <v>2</v>
      </c>
      <c r="D128" s="4" t="s">
        <v>239</v>
      </c>
      <c r="E128" s="4" t="s">
        <v>13</v>
      </c>
      <c r="F128" s="4" t="s">
        <v>28</v>
      </c>
      <c r="G128" s="4" t="s">
        <v>67</v>
      </c>
      <c r="H128" s="4" t="s">
        <v>241</v>
      </c>
      <c r="I128" s="4" t="s">
        <v>236</v>
      </c>
      <c r="J128" s="4" t="s">
        <v>242</v>
      </c>
    </row>
    <row r="129" ht="28.5" customHeight="1" spans="1:10">
      <c r="A129" s="4" t="s">
        <v>432</v>
      </c>
      <c r="B129" s="4" t="s">
        <v>243</v>
      </c>
      <c r="C129" s="4">
        <v>1</v>
      </c>
      <c r="D129" s="4" t="s">
        <v>244</v>
      </c>
      <c r="E129" s="4" t="s">
        <v>13</v>
      </c>
      <c r="F129" s="4" t="s">
        <v>28</v>
      </c>
      <c r="G129" s="4" t="s">
        <v>105</v>
      </c>
      <c r="H129" s="4" t="s">
        <v>245</v>
      </c>
      <c r="I129" s="4" t="s">
        <v>236</v>
      </c>
      <c r="J129" s="4" t="s">
        <v>237</v>
      </c>
    </row>
    <row r="130" ht="28.5" customHeight="1" spans="1:10">
      <c r="A130" s="4" t="s">
        <v>433</v>
      </c>
      <c r="B130" s="4" t="s">
        <v>243</v>
      </c>
      <c r="C130" s="4">
        <v>2</v>
      </c>
      <c r="D130" s="4" t="s">
        <v>244</v>
      </c>
      <c r="E130" s="4" t="s">
        <v>13</v>
      </c>
      <c r="F130" s="4" t="s">
        <v>28</v>
      </c>
      <c r="G130" s="4" t="s">
        <v>105</v>
      </c>
      <c r="H130" s="4" t="s">
        <v>245</v>
      </c>
      <c r="I130" s="4" t="s">
        <v>236</v>
      </c>
      <c r="J130" s="4" t="s">
        <v>237</v>
      </c>
    </row>
    <row r="131" ht="28.5" customHeight="1" spans="1:10">
      <c r="A131" s="4" t="s">
        <v>434</v>
      </c>
      <c r="B131" s="4" t="s">
        <v>246</v>
      </c>
      <c r="C131" s="4">
        <v>1</v>
      </c>
      <c r="D131" s="4" t="s">
        <v>247</v>
      </c>
      <c r="E131" s="4" t="s">
        <v>13</v>
      </c>
      <c r="F131" s="4" t="s">
        <v>28</v>
      </c>
      <c r="G131" s="4" t="s">
        <v>105</v>
      </c>
      <c r="H131" s="4" t="s">
        <v>248</v>
      </c>
      <c r="I131" s="4" t="s">
        <v>236</v>
      </c>
      <c r="J131" s="4" t="s">
        <v>242</v>
      </c>
    </row>
    <row r="132" ht="28.5" customHeight="1" spans="1:10">
      <c r="A132" s="4" t="s">
        <v>435</v>
      </c>
      <c r="B132" s="4" t="s">
        <v>246</v>
      </c>
      <c r="C132" s="4">
        <v>2</v>
      </c>
      <c r="D132" s="4" t="s">
        <v>247</v>
      </c>
      <c r="E132" s="4" t="s">
        <v>13</v>
      </c>
      <c r="F132" s="4" t="s">
        <v>28</v>
      </c>
      <c r="G132" s="4" t="s">
        <v>105</v>
      </c>
      <c r="H132" s="4" t="s">
        <v>248</v>
      </c>
      <c r="I132" s="4" t="s">
        <v>236</v>
      </c>
      <c r="J132" s="4" t="s">
        <v>242</v>
      </c>
    </row>
    <row r="133" ht="28.5" customHeight="1" spans="1:10">
      <c r="A133" s="4" t="s">
        <v>436</v>
      </c>
      <c r="B133" s="4" t="s">
        <v>249</v>
      </c>
      <c r="C133" s="4">
        <v>1</v>
      </c>
      <c r="D133" s="4" t="s">
        <v>250</v>
      </c>
      <c r="E133" s="4" t="s">
        <v>13</v>
      </c>
      <c r="F133" s="4" t="s">
        <v>28</v>
      </c>
      <c r="G133" s="4" t="s">
        <v>132</v>
      </c>
      <c r="H133" s="4" t="s">
        <v>251</v>
      </c>
      <c r="I133" s="4" t="s">
        <v>236</v>
      </c>
      <c r="J133" s="4" t="s">
        <v>237</v>
      </c>
    </row>
    <row r="134" ht="28.5" customHeight="1" spans="1:10">
      <c r="A134" s="4" t="s">
        <v>437</v>
      </c>
      <c r="B134" s="4" t="s">
        <v>249</v>
      </c>
      <c r="C134" s="4">
        <v>2</v>
      </c>
      <c r="D134" s="4" t="s">
        <v>250</v>
      </c>
      <c r="E134" s="4" t="s">
        <v>13</v>
      </c>
      <c r="F134" s="4" t="s">
        <v>28</v>
      </c>
      <c r="G134" s="4" t="s">
        <v>132</v>
      </c>
      <c r="H134" s="4" t="s">
        <v>251</v>
      </c>
      <c r="I134" s="4" t="s">
        <v>236</v>
      </c>
      <c r="J134" s="4" t="s">
        <v>237</v>
      </c>
    </row>
    <row r="135" ht="28.5" customHeight="1" spans="1:10">
      <c r="A135" s="4" t="s">
        <v>438</v>
      </c>
      <c r="B135" s="4" t="s">
        <v>252</v>
      </c>
      <c r="C135" s="4">
        <v>1</v>
      </c>
      <c r="D135" s="4" t="s">
        <v>253</v>
      </c>
      <c r="E135" s="4" t="s">
        <v>13</v>
      </c>
      <c r="F135" s="4" t="s">
        <v>28</v>
      </c>
      <c r="G135" s="4" t="s">
        <v>132</v>
      </c>
      <c r="H135" s="4" t="s">
        <v>254</v>
      </c>
      <c r="I135" s="4" t="s">
        <v>236</v>
      </c>
      <c r="J135" s="4" t="s">
        <v>242</v>
      </c>
    </row>
    <row r="136" ht="28.5" customHeight="1" spans="1:10">
      <c r="A136" s="4" t="s">
        <v>439</v>
      </c>
      <c r="B136" s="4" t="s">
        <v>252</v>
      </c>
      <c r="C136" s="4">
        <v>2</v>
      </c>
      <c r="D136" s="4" t="s">
        <v>253</v>
      </c>
      <c r="E136" s="4" t="s">
        <v>13</v>
      </c>
      <c r="F136" s="4" t="s">
        <v>28</v>
      </c>
      <c r="G136" s="4" t="s">
        <v>132</v>
      </c>
      <c r="H136" s="4" t="s">
        <v>254</v>
      </c>
      <c r="I136" s="4" t="s">
        <v>236</v>
      </c>
      <c r="J136" s="4" t="s">
        <v>242</v>
      </c>
    </row>
    <row r="137" ht="28.5" customHeight="1" spans="1:10">
      <c r="A137" s="4" t="s">
        <v>440</v>
      </c>
      <c r="B137" s="4" t="s">
        <v>255</v>
      </c>
      <c r="C137" s="4">
        <v>1</v>
      </c>
      <c r="D137" s="4" t="s">
        <v>256</v>
      </c>
      <c r="E137" s="4" t="s">
        <v>13</v>
      </c>
      <c r="F137" s="4" t="s">
        <v>28</v>
      </c>
      <c r="G137" s="4" t="s">
        <v>159</v>
      </c>
      <c r="H137" s="4" t="s">
        <v>257</v>
      </c>
      <c r="I137" s="4" t="s">
        <v>236</v>
      </c>
      <c r="J137" s="4" t="s">
        <v>237</v>
      </c>
    </row>
    <row r="138" ht="28.5" customHeight="1" spans="1:10">
      <c r="A138" s="4" t="s">
        <v>441</v>
      </c>
      <c r="B138" s="4" t="s">
        <v>255</v>
      </c>
      <c r="C138" s="4">
        <v>2</v>
      </c>
      <c r="D138" s="4" t="s">
        <v>256</v>
      </c>
      <c r="E138" s="4" t="s">
        <v>13</v>
      </c>
      <c r="F138" s="4" t="s">
        <v>28</v>
      </c>
      <c r="G138" s="4" t="s">
        <v>159</v>
      </c>
      <c r="H138" s="4" t="s">
        <v>257</v>
      </c>
      <c r="I138" s="4" t="s">
        <v>236</v>
      </c>
      <c r="J138" s="4" t="s">
        <v>237</v>
      </c>
    </row>
    <row r="139" ht="28.5" customHeight="1" spans="1:10">
      <c r="A139" s="4" t="s">
        <v>442</v>
      </c>
      <c r="B139" s="4" t="s">
        <v>258</v>
      </c>
      <c r="C139" s="4">
        <v>1</v>
      </c>
      <c r="D139" s="4" t="s">
        <v>259</v>
      </c>
      <c r="E139" s="4" t="s">
        <v>13</v>
      </c>
      <c r="F139" s="4" t="s">
        <v>28</v>
      </c>
      <c r="G139" s="4" t="s">
        <v>159</v>
      </c>
      <c r="H139" s="4" t="s">
        <v>260</v>
      </c>
      <c r="I139" s="4" t="s">
        <v>236</v>
      </c>
      <c r="J139" s="4" t="s">
        <v>242</v>
      </c>
    </row>
    <row r="140" ht="28.5" customHeight="1" spans="1:10">
      <c r="A140" s="4" t="s">
        <v>443</v>
      </c>
      <c r="B140" s="4" t="s">
        <v>258</v>
      </c>
      <c r="C140" s="4">
        <v>2</v>
      </c>
      <c r="D140" s="4" t="s">
        <v>259</v>
      </c>
      <c r="E140" s="4" t="s">
        <v>13</v>
      </c>
      <c r="F140" s="4" t="s">
        <v>28</v>
      </c>
      <c r="G140" s="4" t="s">
        <v>159</v>
      </c>
      <c r="H140" s="4" t="s">
        <v>260</v>
      </c>
      <c r="I140" s="4" t="s">
        <v>236</v>
      </c>
      <c r="J140" s="4" t="s">
        <v>242</v>
      </c>
    </row>
    <row r="141" ht="28.5" customHeight="1" spans="1:10">
      <c r="A141" s="4" t="s">
        <v>444</v>
      </c>
      <c r="B141" s="4" t="s">
        <v>261</v>
      </c>
      <c r="C141" s="4">
        <v>1</v>
      </c>
      <c r="D141" s="4" t="s">
        <v>262</v>
      </c>
      <c r="E141" s="4" t="s">
        <v>15</v>
      </c>
      <c r="F141" s="4" t="s">
        <v>32</v>
      </c>
      <c r="G141" s="4" t="s">
        <v>264</v>
      </c>
      <c r="H141" s="4" t="s">
        <v>265</v>
      </c>
      <c r="I141" s="4" t="s">
        <v>266</v>
      </c>
      <c r="J141" s="4" t="s">
        <v>267</v>
      </c>
    </row>
    <row r="142" ht="28.5" customHeight="1" spans="1:10">
      <c r="A142" s="4" t="s">
        <v>445</v>
      </c>
      <c r="B142" s="4" t="s">
        <v>261</v>
      </c>
      <c r="C142" s="4">
        <v>2</v>
      </c>
      <c r="D142" s="4" t="s">
        <v>262</v>
      </c>
      <c r="E142" s="4" t="s">
        <v>15</v>
      </c>
      <c r="F142" s="4" t="s">
        <v>32</v>
      </c>
      <c r="G142" s="4" t="s">
        <v>264</v>
      </c>
      <c r="H142" s="4" t="s">
        <v>265</v>
      </c>
      <c r="I142" s="4" t="s">
        <v>266</v>
      </c>
      <c r="J142" s="4" t="s">
        <v>267</v>
      </c>
    </row>
    <row r="143" ht="28.5" customHeight="1" spans="1:10">
      <c r="A143" s="4" t="s">
        <v>446</v>
      </c>
      <c r="B143" s="4" t="s">
        <v>261</v>
      </c>
      <c r="C143" s="4">
        <v>3</v>
      </c>
      <c r="D143" s="4" t="s">
        <v>262</v>
      </c>
      <c r="E143" s="4" t="s">
        <v>15</v>
      </c>
      <c r="F143" s="4" t="s">
        <v>32</v>
      </c>
      <c r="G143" s="4" t="s">
        <v>264</v>
      </c>
      <c r="H143" s="4" t="s">
        <v>265</v>
      </c>
      <c r="I143" s="4" t="s">
        <v>266</v>
      </c>
      <c r="J143" s="4" t="s">
        <v>267</v>
      </c>
    </row>
    <row r="144" ht="28.5" customHeight="1" spans="1:10">
      <c r="A144" s="4" t="s">
        <v>447</v>
      </c>
      <c r="B144" s="4" t="s">
        <v>269</v>
      </c>
      <c r="C144" s="4">
        <v>1</v>
      </c>
      <c r="D144" s="4" t="s">
        <v>270</v>
      </c>
      <c r="E144" s="4" t="s">
        <v>15</v>
      </c>
      <c r="F144" s="4" t="s">
        <v>32</v>
      </c>
      <c r="G144" s="4" t="s">
        <v>271</v>
      </c>
      <c r="H144" s="4" t="s">
        <v>272</v>
      </c>
      <c r="I144" s="4" t="s">
        <v>266</v>
      </c>
      <c r="J144" s="4" t="s">
        <v>273</v>
      </c>
    </row>
    <row r="145" ht="28.5" customHeight="1" spans="1:10">
      <c r="A145" s="4" t="s">
        <v>448</v>
      </c>
      <c r="B145" s="4" t="s">
        <v>269</v>
      </c>
      <c r="C145" s="4">
        <v>2</v>
      </c>
      <c r="D145" s="4" t="s">
        <v>270</v>
      </c>
      <c r="E145" s="4" t="s">
        <v>15</v>
      </c>
      <c r="F145" s="4" t="s">
        <v>32</v>
      </c>
      <c r="G145" s="4" t="s">
        <v>271</v>
      </c>
      <c r="H145" s="4" t="s">
        <v>272</v>
      </c>
      <c r="I145" s="4" t="s">
        <v>266</v>
      </c>
      <c r="J145" s="4" t="s">
        <v>273</v>
      </c>
    </row>
    <row r="146" ht="28.5" customHeight="1" spans="1:10">
      <c r="A146" s="4" t="s">
        <v>449</v>
      </c>
      <c r="B146" s="4" t="s">
        <v>269</v>
      </c>
      <c r="C146" s="4">
        <v>3</v>
      </c>
      <c r="D146" s="4" t="s">
        <v>270</v>
      </c>
      <c r="E146" s="4" t="s">
        <v>15</v>
      </c>
      <c r="F146" s="4" t="s">
        <v>32</v>
      </c>
      <c r="G146" s="4" t="s">
        <v>271</v>
      </c>
      <c r="H146" s="4" t="s">
        <v>272</v>
      </c>
      <c r="I146" s="4" t="s">
        <v>266</v>
      </c>
      <c r="J146" s="4" t="s">
        <v>273</v>
      </c>
    </row>
    <row r="147" ht="28.5" customHeight="1" spans="1:10">
      <c r="A147" s="4" t="s">
        <v>450</v>
      </c>
      <c r="B147" s="4" t="s">
        <v>274</v>
      </c>
      <c r="C147" s="4">
        <v>1</v>
      </c>
      <c r="D147" s="4" t="s">
        <v>275</v>
      </c>
      <c r="E147" s="4" t="s">
        <v>15</v>
      </c>
      <c r="F147" s="4" t="s">
        <v>32</v>
      </c>
      <c r="G147" s="4" t="s">
        <v>277</v>
      </c>
      <c r="H147" s="4" t="s">
        <v>278</v>
      </c>
      <c r="I147" s="4" t="s">
        <v>266</v>
      </c>
      <c r="J147" s="4" t="s">
        <v>279</v>
      </c>
    </row>
    <row r="148" ht="28.5" customHeight="1" spans="1:10">
      <c r="A148" s="4" t="s">
        <v>451</v>
      </c>
      <c r="B148" s="4" t="s">
        <v>274</v>
      </c>
      <c r="C148" s="4">
        <v>2</v>
      </c>
      <c r="D148" s="4" t="s">
        <v>275</v>
      </c>
      <c r="E148" s="4" t="s">
        <v>15</v>
      </c>
      <c r="F148" s="4" t="s">
        <v>32</v>
      </c>
      <c r="G148" s="4" t="s">
        <v>277</v>
      </c>
      <c r="H148" s="4" t="s">
        <v>278</v>
      </c>
      <c r="I148" s="4" t="s">
        <v>266</v>
      </c>
      <c r="J148" s="4" t="s">
        <v>279</v>
      </c>
    </row>
    <row r="149" ht="28.5" customHeight="1" spans="1:10">
      <c r="A149" s="4" t="s">
        <v>452</v>
      </c>
      <c r="B149" s="4" t="s">
        <v>274</v>
      </c>
      <c r="C149" s="4">
        <v>3</v>
      </c>
      <c r="D149" s="4" t="s">
        <v>275</v>
      </c>
      <c r="E149" s="4" t="s">
        <v>15</v>
      </c>
      <c r="F149" s="4" t="s">
        <v>32</v>
      </c>
      <c r="G149" s="4" t="s">
        <v>277</v>
      </c>
      <c r="H149" s="4" t="s">
        <v>278</v>
      </c>
      <c r="I149" s="4" t="s">
        <v>266</v>
      </c>
      <c r="J149" s="4" t="s">
        <v>279</v>
      </c>
    </row>
    <row r="150" ht="28.5" customHeight="1" spans="1:10">
      <c r="A150" s="4" t="s">
        <v>453</v>
      </c>
      <c r="B150" s="4" t="s">
        <v>274</v>
      </c>
      <c r="C150" s="4">
        <v>4</v>
      </c>
      <c r="D150" s="4" t="s">
        <v>275</v>
      </c>
      <c r="E150" s="4" t="s">
        <v>15</v>
      </c>
      <c r="F150" s="4" t="s">
        <v>32</v>
      </c>
      <c r="G150" s="4" t="s">
        <v>277</v>
      </c>
      <c r="H150" s="4" t="s">
        <v>278</v>
      </c>
      <c r="I150" s="4" t="s">
        <v>266</v>
      </c>
      <c r="J150" s="4" t="s">
        <v>279</v>
      </c>
    </row>
    <row r="151" ht="28.5" customHeight="1" spans="1:10">
      <c r="A151" s="4" t="s">
        <v>454</v>
      </c>
      <c r="B151" s="4" t="s">
        <v>280</v>
      </c>
      <c r="C151" s="4">
        <v>1</v>
      </c>
      <c r="D151" s="4" t="s">
        <v>281</v>
      </c>
      <c r="E151" s="4" t="s">
        <v>15</v>
      </c>
      <c r="F151" s="4" t="s">
        <v>32</v>
      </c>
      <c r="G151" s="4" t="s">
        <v>283</v>
      </c>
      <c r="H151" s="4" t="s">
        <v>284</v>
      </c>
      <c r="I151" s="4" t="s">
        <v>266</v>
      </c>
      <c r="J151" s="4" t="s">
        <v>285</v>
      </c>
    </row>
    <row r="152" ht="28.5" customHeight="1" spans="1:10">
      <c r="A152" s="4" t="s">
        <v>455</v>
      </c>
      <c r="B152" s="4" t="s">
        <v>280</v>
      </c>
      <c r="C152" s="4">
        <v>2</v>
      </c>
      <c r="D152" s="4" t="s">
        <v>281</v>
      </c>
      <c r="E152" s="4" t="s">
        <v>15</v>
      </c>
      <c r="F152" s="4" t="s">
        <v>32</v>
      </c>
      <c r="G152" s="4" t="s">
        <v>283</v>
      </c>
      <c r="H152" s="4" t="s">
        <v>284</v>
      </c>
      <c r="I152" s="4" t="s">
        <v>266</v>
      </c>
      <c r="J152" s="4" t="s">
        <v>285</v>
      </c>
    </row>
    <row r="153" ht="28.5" customHeight="1" spans="1:10">
      <c r="A153" s="4" t="s">
        <v>456</v>
      </c>
      <c r="B153" s="4" t="s">
        <v>280</v>
      </c>
      <c r="C153" s="4">
        <v>3</v>
      </c>
      <c r="D153" s="4" t="s">
        <v>281</v>
      </c>
      <c r="E153" s="4" t="s">
        <v>15</v>
      </c>
      <c r="F153" s="4" t="s">
        <v>32</v>
      </c>
      <c r="G153" s="4" t="s">
        <v>283</v>
      </c>
      <c r="H153" s="4" t="s">
        <v>284</v>
      </c>
      <c r="I153" s="4" t="s">
        <v>266</v>
      </c>
      <c r="J153" s="4" t="s">
        <v>285</v>
      </c>
    </row>
    <row r="154" ht="28.5" customHeight="1" spans="1:10">
      <c r="A154" s="4" t="s">
        <v>457</v>
      </c>
      <c r="B154" s="4" t="s">
        <v>280</v>
      </c>
      <c r="C154" s="4">
        <v>4</v>
      </c>
      <c r="D154" s="4" t="s">
        <v>281</v>
      </c>
      <c r="E154" s="4" t="s">
        <v>15</v>
      </c>
      <c r="F154" s="4" t="s">
        <v>32</v>
      </c>
      <c r="G154" s="4" t="s">
        <v>283</v>
      </c>
      <c r="H154" s="4" t="s">
        <v>284</v>
      </c>
      <c r="I154" s="4" t="s">
        <v>266</v>
      </c>
      <c r="J154" s="4" t="s">
        <v>285</v>
      </c>
    </row>
    <row r="155" ht="28.5" customHeight="1" spans="1:10">
      <c r="A155" s="4" t="s">
        <v>458</v>
      </c>
      <c r="B155" s="4" t="s">
        <v>286</v>
      </c>
      <c r="C155" s="4">
        <v>1</v>
      </c>
      <c r="D155" s="4" t="s">
        <v>287</v>
      </c>
      <c r="E155" s="4" t="s">
        <v>15</v>
      </c>
      <c r="F155" s="4" t="s">
        <v>32</v>
      </c>
      <c r="G155" s="4" t="s">
        <v>283</v>
      </c>
      <c r="H155" s="4" t="s">
        <v>289</v>
      </c>
      <c r="I155" s="4" t="s">
        <v>266</v>
      </c>
      <c r="J155" s="4" t="s">
        <v>290</v>
      </c>
    </row>
    <row r="156" ht="28.5" customHeight="1" spans="1:10">
      <c r="A156" s="4" t="s">
        <v>459</v>
      </c>
      <c r="B156" s="4" t="s">
        <v>286</v>
      </c>
      <c r="C156" s="4">
        <v>2</v>
      </c>
      <c r="D156" s="4" t="s">
        <v>287</v>
      </c>
      <c r="E156" s="4" t="s">
        <v>15</v>
      </c>
      <c r="F156" s="4" t="s">
        <v>32</v>
      </c>
      <c r="G156" s="4" t="s">
        <v>283</v>
      </c>
      <c r="H156" s="4" t="s">
        <v>289</v>
      </c>
      <c r="I156" s="4" t="s">
        <v>266</v>
      </c>
      <c r="J156" s="4" t="s">
        <v>290</v>
      </c>
    </row>
    <row r="157" ht="28.5" customHeight="1" spans="1:10">
      <c r="A157" s="4" t="s">
        <v>460</v>
      </c>
      <c r="B157" s="4" t="s">
        <v>286</v>
      </c>
      <c r="C157" s="4">
        <v>3</v>
      </c>
      <c r="D157" s="4" t="s">
        <v>287</v>
      </c>
      <c r="E157" s="4" t="s">
        <v>15</v>
      </c>
      <c r="F157" s="4" t="s">
        <v>32</v>
      </c>
      <c r="G157" s="4" t="s">
        <v>283</v>
      </c>
      <c r="H157" s="4" t="s">
        <v>289</v>
      </c>
      <c r="I157" s="4" t="s">
        <v>266</v>
      </c>
      <c r="J157" s="4" t="s">
        <v>290</v>
      </c>
    </row>
    <row r="158" ht="28.5" customHeight="1" spans="1:10">
      <c r="A158" s="4" t="s">
        <v>461</v>
      </c>
      <c r="B158" s="4" t="s">
        <v>286</v>
      </c>
      <c r="C158" s="4">
        <v>4</v>
      </c>
      <c r="D158" s="4" t="s">
        <v>287</v>
      </c>
      <c r="E158" s="4" t="s">
        <v>15</v>
      </c>
      <c r="F158" s="4" t="s">
        <v>32</v>
      </c>
      <c r="G158" s="4" t="s">
        <v>283</v>
      </c>
      <c r="H158" s="4" t="s">
        <v>289</v>
      </c>
      <c r="I158" s="4" t="s">
        <v>266</v>
      </c>
      <c r="J158" s="4" t="s">
        <v>290</v>
      </c>
    </row>
    <row r="159" ht="28.5" customHeight="1" spans="1:10">
      <c r="A159" s="4" t="s">
        <v>462</v>
      </c>
      <c r="B159" s="4" t="s">
        <v>291</v>
      </c>
      <c r="C159" s="4">
        <v>1</v>
      </c>
      <c r="D159" s="4" t="s">
        <v>292</v>
      </c>
      <c r="E159" s="4" t="s">
        <v>15</v>
      </c>
      <c r="F159" s="4" t="s">
        <v>32</v>
      </c>
      <c r="G159" s="4" t="s">
        <v>294</v>
      </c>
      <c r="H159" s="4" t="s">
        <v>295</v>
      </c>
      <c r="I159" s="4" t="s">
        <v>266</v>
      </c>
      <c r="J159" s="4" t="s">
        <v>296</v>
      </c>
    </row>
    <row r="160" ht="28.5" customHeight="1" spans="1:10">
      <c r="A160" s="4" t="s">
        <v>463</v>
      </c>
      <c r="B160" s="4" t="s">
        <v>291</v>
      </c>
      <c r="C160" s="4">
        <v>2</v>
      </c>
      <c r="D160" s="4" t="s">
        <v>292</v>
      </c>
      <c r="E160" s="4" t="s">
        <v>15</v>
      </c>
      <c r="F160" s="4" t="s">
        <v>32</v>
      </c>
      <c r="G160" s="4" t="s">
        <v>294</v>
      </c>
      <c r="H160" s="4" t="s">
        <v>295</v>
      </c>
      <c r="I160" s="4" t="s">
        <v>266</v>
      </c>
      <c r="J160" s="4" t="s">
        <v>296</v>
      </c>
    </row>
    <row r="161" ht="28.5" customHeight="1" spans="1:10">
      <c r="A161" s="4" t="s">
        <v>464</v>
      </c>
      <c r="B161" s="4" t="s">
        <v>297</v>
      </c>
      <c r="C161" s="4">
        <v>1</v>
      </c>
      <c r="D161" s="4" t="s">
        <v>298</v>
      </c>
      <c r="E161" s="4" t="s">
        <v>15</v>
      </c>
      <c r="F161" s="4" t="s">
        <v>32</v>
      </c>
      <c r="G161" s="4" t="s">
        <v>283</v>
      </c>
      <c r="H161" s="4" t="s">
        <v>300</v>
      </c>
      <c r="I161" s="4" t="s">
        <v>266</v>
      </c>
      <c r="J161" s="4" t="s">
        <v>301</v>
      </c>
    </row>
    <row r="162" ht="28.5" customHeight="1" spans="1:10">
      <c r="A162" s="4" t="s">
        <v>465</v>
      </c>
      <c r="B162" s="4" t="s">
        <v>297</v>
      </c>
      <c r="C162" s="4">
        <v>2</v>
      </c>
      <c r="D162" s="4" t="s">
        <v>298</v>
      </c>
      <c r="E162" s="4" t="s">
        <v>15</v>
      </c>
      <c r="F162" s="4" t="s">
        <v>32</v>
      </c>
      <c r="G162" s="4" t="s">
        <v>283</v>
      </c>
      <c r="H162" s="4" t="s">
        <v>300</v>
      </c>
      <c r="I162" s="4" t="s">
        <v>266</v>
      </c>
      <c r="J162" s="4" t="s">
        <v>301</v>
      </c>
    </row>
    <row r="163" ht="28.5" customHeight="1" spans="1:10">
      <c r="A163" s="4" t="s">
        <v>466</v>
      </c>
      <c r="B163" s="4" t="s">
        <v>297</v>
      </c>
      <c r="C163" s="4">
        <v>3</v>
      </c>
      <c r="D163" s="4" t="s">
        <v>298</v>
      </c>
      <c r="E163" s="4" t="s">
        <v>15</v>
      </c>
      <c r="F163" s="4" t="s">
        <v>32</v>
      </c>
      <c r="G163" s="4" t="s">
        <v>283</v>
      </c>
      <c r="H163" s="4" t="s">
        <v>300</v>
      </c>
      <c r="I163" s="4" t="s">
        <v>266</v>
      </c>
      <c r="J163" s="4" t="s">
        <v>301</v>
      </c>
    </row>
    <row r="164" ht="28.5" customHeight="1" spans="1:10">
      <c r="A164" s="4" t="s">
        <v>467</v>
      </c>
      <c r="B164" s="4" t="s">
        <v>297</v>
      </c>
      <c r="C164" s="4">
        <v>4</v>
      </c>
      <c r="D164" s="4" t="s">
        <v>298</v>
      </c>
      <c r="E164" s="4" t="s">
        <v>15</v>
      </c>
      <c r="F164" s="4" t="s">
        <v>32</v>
      </c>
      <c r="G164" s="4" t="s">
        <v>283</v>
      </c>
      <c r="H164" s="4" t="s">
        <v>300</v>
      </c>
      <c r="I164" s="4" t="s">
        <v>266</v>
      </c>
      <c r="J164" s="4" t="s">
        <v>301</v>
      </c>
    </row>
  </sheetData>
  <mergeCells count="2">
    <mergeCell ref="A1:J1"/>
    <mergeCell ref="A2:J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"/>
  <sheetViews>
    <sheetView showGridLines="0" workbookViewId="0">
      <selection activeCell="A1" sqref="A1:T1"/>
    </sheetView>
  </sheetViews>
  <sheetFormatPr defaultColWidth="9" defaultRowHeight="14.25"/>
  <cols>
    <col min="1" max="1" width="11" customWidth="1"/>
    <col min="2" max="2" width="27.5" customWidth="1"/>
    <col min="3" max="3" width="13.75" customWidth="1"/>
    <col min="4" max="4" width="10" customWidth="1"/>
    <col min="5" max="5" width="20" customWidth="1"/>
    <col min="6" max="6" width="15.6333333333333" customWidth="1"/>
    <col min="7" max="7" width="48.75" customWidth="1"/>
    <col min="8" max="8" width="32.5" customWidth="1"/>
    <col min="9" max="9" width="20.6333333333333" customWidth="1"/>
    <col min="10" max="20" width="11.5" customWidth="1"/>
  </cols>
  <sheetData>
    <row r="1" ht="31.5" customHeight="1" spans="1:20">
      <c r="A1" s="1" t="s">
        <v>468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ht="27" customHeight="1" spans="1:20">
      <c r="A2" s="2" t="s">
        <v>469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4" ht="27" customHeight="1" spans="1:20">
      <c r="A4" s="3" t="s">
        <v>470</v>
      </c>
      <c r="B4" s="3" t="s">
        <v>471</v>
      </c>
      <c r="C4" s="3" t="s">
        <v>472</v>
      </c>
      <c r="D4" s="3" t="s">
        <v>44</v>
      </c>
      <c r="E4" s="3" t="s">
        <v>45</v>
      </c>
      <c r="F4" s="3" t="s">
        <v>46</v>
      </c>
      <c r="G4" s="3" t="s">
        <v>48</v>
      </c>
      <c r="H4" s="3" t="s">
        <v>49</v>
      </c>
      <c r="I4" s="3" t="s">
        <v>50</v>
      </c>
      <c r="J4" s="3" t="s">
        <v>56</v>
      </c>
      <c r="K4" s="3" t="s">
        <v>57</v>
      </c>
      <c r="L4" s="3" t="s">
        <v>58</v>
      </c>
      <c r="M4" s="3" t="s">
        <v>59</v>
      </c>
      <c r="N4" s="3" t="s">
        <v>52</v>
      </c>
      <c r="O4" s="3" t="s">
        <v>53</v>
      </c>
      <c r="P4" s="3" t="s">
        <v>54</v>
      </c>
      <c r="Q4" s="3" t="s">
        <v>473</v>
      </c>
      <c r="R4" s="3" t="s">
        <v>474</v>
      </c>
      <c r="S4" s="3" t="s">
        <v>475</v>
      </c>
      <c r="T4" s="3" t="s">
        <v>476</v>
      </c>
    </row>
    <row r="5" ht="40.5" customHeight="1" spans="1:20">
      <c r="A5" s="4" t="s">
        <v>477</v>
      </c>
      <c r="B5" s="4" t="s">
        <v>478</v>
      </c>
      <c r="C5" s="4" t="s">
        <v>479</v>
      </c>
      <c r="D5" s="15" t="s">
        <v>24</v>
      </c>
      <c r="E5" s="4" t="s">
        <v>480</v>
      </c>
      <c r="F5" s="4" t="s">
        <v>481</v>
      </c>
      <c r="G5" s="4" t="s">
        <v>482</v>
      </c>
      <c r="H5" s="4" t="s">
        <v>483</v>
      </c>
      <c r="I5" s="4" t="s">
        <v>484</v>
      </c>
      <c r="J5" s="16">
        <v>1</v>
      </c>
      <c r="K5" s="16">
        <v>1</v>
      </c>
      <c r="L5" s="16">
        <v>1</v>
      </c>
      <c r="M5" s="16">
        <v>1</v>
      </c>
      <c r="N5" s="16">
        <v>4</v>
      </c>
      <c r="O5" s="16">
        <v>1</v>
      </c>
      <c r="P5" s="16">
        <f t="shared" ref="P5:P24" si="0">N5*O5</f>
        <v>4</v>
      </c>
      <c r="Q5" s="16">
        <f t="shared" ref="Q5:Q24" si="1">J5*O5</f>
        <v>1</v>
      </c>
      <c r="R5" s="16">
        <f t="shared" ref="R5:R24" si="2">K5*O5</f>
        <v>1</v>
      </c>
      <c r="S5" s="16">
        <f t="shared" ref="S5:S24" si="3">L5*O5</f>
        <v>1</v>
      </c>
      <c r="T5" s="16">
        <f t="shared" ref="T5:T24" si="4">M5*O5</f>
        <v>1</v>
      </c>
    </row>
    <row r="6" ht="40.5" customHeight="1" spans="1:20">
      <c r="A6" s="4" t="s">
        <v>485</v>
      </c>
      <c r="B6" s="4" t="s">
        <v>486</v>
      </c>
      <c r="C6" s="4" t="s">
        <v>479</v>
      </c>
      <c r="D6" s="15" t="s">
        <v>24</v>
      </c>
      <c r="E6" s="4" t="s">
        <v>487</v>
      </c>
      <c r="F6" s="4" t="s">
        <v>481</v>
      </c>
      <c r="G6" s="4" t="s">
        <v>488</v>
      </c>
      <c r="H6" s="4" t="s">
        <v>483</v>
      </c>
      <c r="I6" s="4" t="s">
        <v>484</v>
      </c>
      <c r="J6" s="16">
        <v>-1</v>
      </c>
      <c r="K6" s="16">
        <v>-1</v>
      </c>
      <c r="L6" s="16">
        <v>-1</v>
      </c>
      <c r="M6" s="16">
        <v>-1</v>
      </c>
      <c r="N6" s="16">
        <v>4</v>
      </c>
      <c r="O6" s="16">
        <v>1</v>
      </c>
      <c r="P6" s="16">
        <f t="shared" si="0"/>
        <v>4</v>
      </c>
      <c r="Q6" s="16">
        <f t="shared" si="1"/>
        <v>-1</v>
      </c>
      <c r="R6" s="16">
        <f t="shared" si="2"/>
        <v>-1</v>
      </c>
      <c r="S6" s="16">
        <f t="shared" si="3"/>
        <v>-1</v>
      </c>
      <c r="T6" s="16">
        <f t="shared" si="4"/>
        <v>-1</v>
      </c>
    </row>
    <row r="7" ht="40.5" customHeight="1" spans="1:20">
      <c r="A7" s="4" t="s">
        <v>489</v>
      </c>
      <c r="B7" s="4" t="s">
        <v>490</v>
      </c>
      <c r="C7" s="4" t="s">
        <v>479</v>
      </c>
      <c r="D7" s="17" t="s">
        <v>26</v>
      </c>
      <c r="E7" s="4" t="s">
        <v>491</v>
      </c>
      <c r="F7" s="4" t="s">
        <v>67</v>
      </c>
      <c r="G7" s="4" t="s">
        <v>492</v>
      </c>
      <c r="H7" s="4" t="s">
        <v>483</v>
      </c>
      <c r="I7" s="4" t="s">
        <v>493</v>
      </c>
      <c r="J7" s="16">
        <v>3</v>
      </c>
      <c r="K7" s="16">
        <v>0</v>
      </c>
      <c r="L7" s="16">
        <v>0</v>
      </c>
      <c r="M7" s="16">
        <v>0</v>
      </c>
      <c r="N7" s="16">
        <v>3</v>
      </c>
      <c r="O7" s="16">
        <v>1</v>
      </c>
      <c r="P7" s="16">
        <f t="shared" si="0"/>
        <v>3</v>
      </c>
      <c r="Q7" s="16">
        <f t="shared" si="1"/>
        <v>3</v>
      </c>
      <c r="R7" s="16">
        <f t="shared" si="2"/>
        <v>0</v>
      </c>
      <c r="S7" s="16">
        <f t="shared" si="3"/>
        <v>0</v>
      </c>
      <c r="T7" s="16">
        <f t="shared" si="4"/>
        <v>0</v>
      </c>
    </row>
    <row r="8" ht="40.5" customHeight="1" spans="1:20">
      <c r="A8" s="4" t="s">
        <v>494</v>
      </c>
      <c r="B8" s="4" t="s">
        <v>495</v>
      </c>
      <c r="C8" s="4" t="s">
        <v>479</v>
      </c>
      <c r="D8" s="17" t="s">
        <v>26</v>
      </c>
      <c r="E8" s="4" t="s">
        <v>496</v>
      </c>
      <c r="F8" s="4" t="s">
        <v>67</v>
      </c>
      <c r="G8" s="4" t="s">
        <v>497</v>
      </c>
      <c r="H8" s="4" t="s">
        <v>483</v>
      </c>
      <c r="I8" s="4" t="s">
        <v>493</v>
      </c>
      <c r="J8" s="16">
        <v>-3</v>
      </c>
      <c r="K8" s="16">
        <v>0</v>
      </c>
      <c r="L8" s="16">
        <v>0</v>
      </c>
      <c r="M8" s="16">
        <v>0</v>
      </c>
      <c r="N8" s="16">
        <v>3</v>
      </c>
      <c r="O8" s="16">
        <v>1</v>
      </c>
      <c r="P8" s="16">
        <f t="shared" si="0"/>
        <v>3</v>
      </c>
      <c r="Q8" s="16">
        <f t="shared" si="1"/>
        <v>-3</v>
      </c>
      <c r="R8" s="16">
        <f t="shared" si="2"/>
        <v>0</v>
      </c>
      <c r="S8" s="16">
        <f t="shared" si="3"/>
        <v>0</v>
      </c>
      <c r="T8" s="16">
        <f t="shared" si="4"/>
        <v>0</v>
      </c>
    </row>
    <row r="9" ht="40.5" customHeight="1" spans="1:20">
      <c r="A9" s="4" t="s">
        <v>498</v>
      </c>
      <c r="B9" s="4" t="s">
        <v>499</v>
      </c>
      <c r="C9" s="4" t="s">
        <v>479</v>
      </c>
      <c r="D9" s="17" t="s">
        <v>26</v>
      </c>
      <c r="E9" s="4" t="s">
        <v>491</v>
      </c>
      <c r="F9" s="4" t="s">
        <v>105</v>
      </c>
      <c r="G9" s="4" t="s">
        <v>500</v>
      </c>
      <c r="H9" s="4" t="s">
        <v>483</v>
      </c>
      <c r="I9" s="4" t="s">
        <v>493</v>
      </c>
      <c r="J9" s="16">
        <v>0</v>
      </c>
      <c r="K9" s="16">
        <v>3</v>
      </c>
      <c r="L9" s="16">
        <v>0</v>
      </c>
      <c r="M9" s="16">
        <v>0</v>
      </c>
      <c r="N9" s="16">
        <v>3</v>
      </c>
      <c r="O9" s="16">
        <v>1</v>
      </c>
      <c r="P9" s="16">
        <f t="shared" si="0"/>
        <v>3</v>
      </c>
      <c r="Q9" s="16">
        <f t="shared" si="1"/>
        <v>0</v>
      </c>
      <c r="R9" s="16">
        <f t="shared" si="2"/>
        <v>3</v>
      </c>
      <c r="S9" s="16">
        <f t="shared" si="3"/>
        <v>0</v>
      </c>
      <c r="T9" s="16">
        <f t="shared" si="4"/>
        <v>0</v>
      </c>
    </row>
    <row r="10" ht="40.5" customHeight="1" spans="1:20">
      <c r="A10" s="4" t="s">
        <v>501</v>
      </c>
      <c r="B10" s="4" t="s">
        <v>502</v>
      </c>
      <c r="C10" s="4" t="s">
        <v>479</v>
      </c>
      <c r="D10" s="17" t="s">
        <v>26</v>
      </c>
      <c r="E10" s="4" t="s">
        <v>496</v>
      </c>
      <c r="F10" s="4" t="s">
        <v>105</v>
      </c>
      <c r="G10" s="4" t="s">
        <v>503</v>
      </c>
      <c r="H10" s="4" t="s">
        <v>483</v>
      </c>
      <c r="I10" s="4" t="s">
        <v>493</v>
      </c>
      <c r="J10" s="16">
        <v>0</v>
      </c>
      <c r="K10" s="16">
        <v>-3</v>
      </c>
      <c r="L10" s="16">
        <v>0</v>
      </c>
      <c r="M10" s="16">
        <v>0</v>
      </c>
      <c r="N10" s="16">
        <v>3</v>
      </c>
      <c r="O10" s="16">
        <v>1</v>
      </c>
      <c r="P10" s="16">
        <f t="shared" si="0"/>
        <v>3</v>
      </c>
      <c r="Q10" s="16">
        <f t="shared" si="1"/>
        <v>0</v>
      </c>
      <c r="R10" s="16">
        <f t="shared" si="2"/>
        <v>-3</v>
      </c>
      <c r="S10" s="16">
        <f t="shared" si="3"/>
        <v>0</v>
      </c>
      <c r="T10" s="16">
        <f t="shared" si="4"/>
        <v>0</v>
      </c>
    </row>
    <row r="11" ht="40.5" customHeight="1" spans="1:20">
      <c r="A11" s="4" t="s">
        <v>504</v>
      </c>
      <c r="B11" s="4" t="s">
        <v>505</v>
      </c>
      <c r="C11" s="4" t="s">
        <v>479</v>
      </c>
      <c r="D11" s="15" t="s">
        <v>24</v>
      </c>
      <c r="E11" s="4" t="s">
        <v>491</v>
      </c>
      <c r="F11" s="4" t="s">
        <v>132</v>
      </c>
      <c r="G11" s="4" t="s">
        <v>506</v>
      </c>
      <c r="H11" s="4" t="s">
        <v>483</v>
      </c>
      <c r="I11" s="4" t="s">
        <v>484</v>
      </c>
      <c r="J11" s="16">
        <v>0</v>
      </c>
      <c r="K11" s="16">
        <v>0</v>
      </c>
      <c r="L11" s="16">
        <v>2</v>
      </c>
      <c r="M11" s="16">
        <v>0</v>
      </c>
      <c r="N11" s="16">
        <v>2</v>
      </c>
      <c r="O11" s="16">
        <v>1</v>
      </c>
      <c r="P11" s="16">
        <f t="shared" si="0"/>
        <v>2</v>
      </c>
      <c r="Q11" s="16">
        <f t="shared" si="1"/>
        <v>0</v>
      </c>
      <c r="R11" s="16">
        <f t="shared" si="2"/>
        <v>0</v>
      </c>
      <c r="S11" s="16">
        <f t="shared" si="3"/>
        <v>2</v>
      </c>
      <c r="T11" s="16">
        <f t="shared" si="4"/>
        <v>0</v>
      </c>
    </row>
    <row r="12" ht="40.5" customHeight="1" spans="1:20">
      <c r="A12" s="4" t="s">
        <v>507</v>
      </c>
      <c r="B12" s="4" t="s">
        <v>508</v>
      </c>
      <c r="C12" s="4" t="s">
        <v>479</v>
      </c>
      <c r="D12" s="15" t="s">
        <v>24</v>
      </c>
      <c r="E12" s="4" t="s">
        <v>496</v>
      </c>
      <c r="F12" s="4" t="s">
        <v>132</v>
      </c>
      <c r="G12" s="4" t="s">
        <v>509</v>
      </c>
      <c r="H12" s="4" t="s">
        <v>483</v>
      </c>
      <c r="I12" s="4" t="s">
        <v>484</v>
      </c>
      <c r="J12" s="16">
        <v>0</v>
      </c>
      <c r="K12" s="16">
        <v>0</v>
      </c>
      <c r="L12" s="16">
        <v>-2</v>
      </c>
      <c r="M12" s="16">
        <v>0</v>
      </c>
      <c r="N12" s="16">
        <v>2</v>
      </c>
      <c r="O12" s="16">
        <v>1</v>
      </c>
      <c r="P12" s="16">
        <f t="shared" si="0"/>
        <v>2</v>
      </c>
      <c r="Q12" s="16">
        <f t="shared" si="1"/>
        <v>0</v>
      </c>
      <c r="R12" s="16">
        <f t="shared" si="2"/>
        <v>0</v>
      </c>
      <c r="S12" s="16">
        <f t="shared" si="3"/>
        <v>-2</v>
      </c>
      <c r="T12" s="16">
        <f t="shared" si="4"/>
        <v>0</v>
      </c>
    </row>
    <row r="13" ht="40.5" customHeight="1" spans="1:20">
      <c r="A13" s="4" t="s">
        <v>510</v>
      </c>
      <c r="B13" s="4" t="s">
        <v>511</v>
      </c>
      <c r="C13" s="4" t="s">
        <v>479</v>
      </c>
      <c r="D13" s="15" t="s">
        <v>24</v>
      </c>
      <c r="E13" s="4" t="s">
        <v>491</v>
      </c>
      <c r="F13" s="4" t="s">
        <v>159</v>
      </c>
      <c r="G13" s="4" t="s">
        <v>512</v>
      </c>
      <c r="H13" s="4" t="s">
        <v>483</v>
      </c>
      <c r="I13" s="4" t="s">
        <v>484</v>
      </c>
      <c r="J13" s="16">
        <v>0</v>
      </c>
      <c r="K13" s="16">
        <v>0</v>
      </c>
      <c r="L13" s="16">
        <v>0</v>
      </c>
      <c r="M13" s="16">
        <v>2</v>
      </c>
      <c r="N13" s="16">
        <v>2</v>
      </c>
      <c r="O13" s="16">
        <v>1</v>
      </c>
      <c r="P13" s="16">
        <f t="shared" si="0"/>
        <v>2</v>
      </c>
      <c r="Q13" s="16">
        <f t="shared" si="1"/>
        <v>0</v>
      </c>
      <c r="R13" s="16">
        <f t="shared" si="2"/>
        <v>0</v>
      </c>
      <c r="S13" s="16">
        <f t="shared" si="3"/>
        <v>0</v>
      </c>
      <c r="T13" s="16">
        <f t="shared" si="4"/>
        <v>2</v>
      </c>
    </row>
    <row r="14" ht="40.5" customHeight="1" spans="1:20">
      <c r="A14" s="4" t="s">
        <v>513</v>
      </c>
      <c r="B14" s="4" t="s">
        <v>514</v>
      </c>
      <c r="C14" s="4" t="s">
        <v>479</v>
      </c>
      <c r="D14" s="15" t="s">
        <v>24</v>
      </c>
      <c r="E14" s="4" t="s">
        <v>496</v>
      </c>
      <c r="F14" s="4" t="s">
        <v>159</v>
      </c>
      <c r="G14" s="4" t="s">
        <v>515</v>
      </c>
      <c r="H14" s="4" t="s">
        <v>483</v>
      </c>
      <c r="I14" s="4" t="s">
        <v>484</v>
      </c>
      <c r="J14" s="16">
        <v>0</v>
      </c>
      <c r="K14" s="16">
        <v>0</v>
      </c>
      <c r="L14" s="16">
        <v>0</v>
      </c>
      <c r="M14" s="16">
        <v>-2</v>
      </c>
      <c r="N14" s="16">
        <v>2</v>
      </c>
      <c r="O14" s="16">
        <v>1</v>
      </c>
      <c r="P14" s="16">
        <f t="shared" si="0"/>
        <v>2</v>
      </c>
      <c r="Q14" s="16">
        <f t="shared" si="1"/>
        <v>0</v>
      </c>
      <c r="R14" s="16">
        <f t="shared" si="2"/>
        <v>0</v>
      </c>
      <c r="S14" s="16">
        <f t="shared" si="3"/>
        <v>0</v>
      </c>
      <c r="T14" s="16">
        <f t="shared" si="4"/>
        <v>-2</v>
      </c>
    </row>
    <row r="15" ht="40.5" customHeight="1" spans="1:20">
      <c r="A15" s="4" t="s">
        <v>516</v>
      </c>
      <c r="B15" s="4" t="s">
        <v>517</v>
      </c>
      <c r="C15" s="4" t="s">
        <v>479</v>
      </c>
      <c r="D15" s="15" t="s">
        <v>24</v>
      </c>
      <c r="E15" s="4" t="s">
        <v>518</v>
      </c>
      <c r="F15" s="4" t="s">
        <v>519</v>
      </c>
      <c r="G15" s="4" t="s">
        <v>520</v>
      </c>
      <c r="H15" s="4" t="s">
        <v>483</v>
      </c>
      <c r="I15" s="4" t="s">
        <v>484</v>
      </c>
      <c r="J15" s="16">
        <v>0</v>
      </c>
      <c r="K15" s="16">
        <v>0</v>
      </c>
      <c r="L15" s="16">
        <v>1</v>
      </c>
      <c r="M15" s="16">
        <v>1</v>
      </c>
      <c r="N15" s="16">
        <v>2</v>
      </c>
      <c r="O15" s="16">
        <v>1</v>
      </c>
      <c r="P15" s="16">
        <f t="shared" si="0"/>
        <v>2</v>
      </c>
      <c r="Q15" s="16">
        <f t="shared" si="1"/>
        <v>0</v>
      </c>
      <c r="R15" s="16">
        <f t="shared" si="2"/>
        <v>0</v>
      </c>
      <c r="S15" s="16">
        <f t="shared" si="3"/>
        <v>1</v>
      </c>
      <c r="T15" s="16">
        <f t="shared" si="4"/>
        <v>1</v>
      </c>
    </row>
    <row r="16" ht="40.5" customHeight="1" spans="1:20">
      <c r="A16" s="4" t="s">
        <v>521</v>
      </c>
      <c r="B16" s="4" t="s">
        <v>522</v>
      </c>
      <c r="C16" s="4" t="s">
        <v>479</v>
      </c>
      <c r="D16" s="15" t="s">
        <v>24</v>
      </c>
      <c r="E16" s="4" t="s">
        <v>523</v>
      </c>
      <c r="F16" s="4" t="s">
        <v>519</v>
      </c>
      <c r="G16" s="4" t="s">
        <v>524</v>
      </c>
      <c r="H16" s="4" t="s">
        <v>483</v>
      </c>
      <c r="I16" s="4" t="s">
        <v>484</v>
      </c>
      <c r="J16" s="16">
        <v>0</v>
      </c>
      <c r="K16" s="16">
        <v>0</v>
      </c>
      <c r="L16" s="16">
        <v>-1</v>
      </c>
      <c r="M16" s="16">
        <v>-1</v>
      </c>
      <c r="N16" s="16">
        <v>2</v>
      </c>
      <c r="O16" s="16">
        <v>1</v>
      </c>
      <c r="P16" s="16">
        <f t="shared" si="0"/>
        <v>2</v>
      </c>
      <c r="Q16" s="16">
        <f t="shared" si="1"/>
        <v>0</v>
      </c>
      <c r="R16" s="16">
        <f t="shared" si="2"/>
        <v>0</v>
      </c>
      <c r="S16" s="16">
        <f t="shared" si="3"/>
        <v>-1</v>
      </c>
      <c r="T16" s="16">
        <f t="shared" si="4"/>
        <v>-1</v>
      </c>
    </row>
    <row r="17" ht="40.5" customHeight="1" spans="1:20">
      <c r="A17" s="4" t="s">
        <v>525</v>
      </c>
      <c r="B17" s="4" t="s">
        <v>526</v>
      </c>
      <c r="C17" s="4" t="s">
        <v>527</v>
      </c>
      <c r="D17" s="18" t="s">
        <v>28</v>
      </c>
      <c r="E17" s="4" t="s">
        <v>234</v>
      </c>
      <c r="F17" s="4" t="s">
        <v>211</v>
      </c>
      <c r="G17" s="4" t="s">
        <v>528</v>
      </c>
      <c r="H17" s="4" t="s">
        <v>529</v>
      </c>
      <c r="I17" s="4" t="s">
        <v>530</v>
      </c>
      <c r="J17" s="16">
        <v>0</v>
      </c>
      <c r="K17" s="16">
        <v>1</v>
      </c>
      <c r="L17" s="16">
        <v>0</v>
      </c>
      <c r="M17" s="16">
        <v>1</v>
      </c>
      <c r="N17" s="16">
        <v>2</v>
      </c>
      <c r="O17" s="16">
        <v>3</v>
      </c>
      <c r="P17" s="16">
        <f t="shared" si="0"/>
        <v>6</v>
      </c>
      <c r="Q17" s="16">
        <f t="shared" si="1"/>
        <v>0</v>
      </c>
      <c r="R17" s="16">
        <f t="shared" si="2"/>
        <v>3</v>
      </c>
      <c r="S17" s="16">
        <f t="shared" si="3"/>
        <v>0</v>
      </c>
      <c r="T17" s="16">
        <f t="shared" si="4"/>
        <v>3</v>
      </c>
    </row>
    <row r="18" ht="40.5" customHeight="1" spans="1:20">
      <c r="A18" s="4" t="s">
        <v>531</v>
      </c>
      <c r="B18" s="4" t="s">
        <v>532</v>
      </c>
      <c r="C18" s="4" t="s">
        <v>527</v>
      </c>
      <c r="D18" s="18" t="s">
        <v>28</v>
      </c>
      <c r="E18" s="4" t="s">
        <v>240</v>
      </c>
      <c r="F18" s="4" t="s">
        <v>211</v>
      </c>
      <c r="G18" s="4" t="s">
        <v>533</v>
      </c>
      <c r="H18" s="4" t="s">
        <v>529</v>
      </c>
      <c r="I18" s="4" t="s">
        <v>534</v>
      </c>
      <c r="J18" s="16">
        <v>0</v>
      </c>
      <c r="K18" s="16">
        <v>-1</v>
      </c>
      <c r="L18" s="16">
        <v>0</v>
      </c>
      <c r="M18" s="16">
        <v>-1</v>
      </c>
      <c r="N18" s="16">
        <v>2</v>
      </c>
      <c r="O18" s="16">
        <v>3</v>
      </c>
      <c r="P18" s="16">
        <f t="shared" si="0"/>
        <v>6</v>
      </c>
      <c r="Q18" s="16">
        <f t="shared" si="1"/>
        <v>0</v>
      </c>
      <c r="R18" s="16">
        <f t="shared" si="2"/>
        <v>-3</v>
      </c>
      <c r="S18" s="16">
        <f t="shared" si="3"/>
        <v>0</v>
      </c>
      <c r="T18" s="16">
        <f t="shared" si="4"/>
        <v>-3</v>
      </c>
    </row>
    <row r="19" ht="40.5" customHeight="1" spans="1:20">
      <c r="A19" s="4" t="s">
        <v>535</v>
      </c>
      <c r="B19" s="4" t="s">
        <v>536</v>
      </c>
      <c r="C19" s="4" t="s">
        <v>527</v>
      </c>
      <c r="D19" s="18" t="s">
        <v>28</v>
      </c>
      <c r="E19" s="4" t="s">
        <v>234</v>
      </c>
      <c r="F19" s="4" t="s">
        <v>537</v>
      </c>
      <c r="G19" s="4" t="s">
        <v>538</v>
      </c>
      <c r="H19" s="4" t="s">
        <v>529</v>
      </c>
      <c r="I19" s="4" t="s">
        <v>530</v>
      </c>
      <c r="J19" s="16">
        <v>1</v>
      </c>
      <c r="K19" s="16">
        <v>0</v>
      </c>
      <c r="L19" s="16">
        <v>1</v>
      </c>
      <c r="M19" s="16">
        <v>0</v>
      </c>
      <c r="N19" s="16">
        <v>2</v>
      </c>
      <c r="O19" s="16">
        <v>3</v>
      </c>
      <c r="P19" s="16">
        <f t="shared" si="0"/>
        <v>6</v>
      </c>
      <c r="Q19" s="16">
        <f t="shared" si="1"/>
        <v>3</v>
      </c>
      <c r="R19" s="16">
        <f t="shared" si="2"/>
        <v>0</v>
      </c>
      <c r="S19" s="16">
        <f t="shared" si="3"/>
        <v>3</v>
      </c>
      <c r="T19" s="16">
        <f t="shared" si="4"/>
        <v>0</v>
      </c>
    </row>
    <row r="20" ht="40.5" customHeight="1" spans="1:20">
      <c r="A20" s="4" t="s">
        <v>539</v>
      </c>
      <c r="B20" s="4" t="s">
        <v>540</v>
      </c>
      <c r="C20" s="4" t="s">
        <v>527</v>
      </c>
      <c r="D20" s="18" t="s">
        <v>28</v>
      </c>
      <c r="E20" s="4" t="s">
        <v>240</v>
      </c>
      <c r="F20" s="4" t="s">
        <v>537</v>
      </c>
      <c r="G20" s="4" t="s">
        <v>541</v>
      </c>
      <c r="H20" s="4" t="s">
        <v>529</v>
      </c>
      <c r="I20" s="4" t="s">
        <v>534</v>
      </c>
      <c r="J20" s="16">
        <v>-1</v>
      </c>
      <c r="K20" s="16">
        <v>0</v>
      </c>
      <c r="L20" s="16">
        <v>-1</v>
      </c>
      <c r="M20" s="16">
        <v>0</v>
      </c>
      <c r="N20" s="16">
        <v>2</v>
      </c>
      <c r="O20" s="16">
        <v>3</v>
      </c>
      <c r="P20" s="16">
        <f t="shared" si="0"/>
        <v>6</v>
      </c>
      <c r="Q20" s="16">
        <f t="shared" si="1"/>
        <v>-3</v>
      </c>
      <c r="R20" s="16">
        <f t="shared" si="2"/>
        <v>0</v>
      </c>
      <c r="S20" s="16">
        <f t="shared" si="3"/>
        <v>-3</v>
      </c>
      <c r="T20" s="16">
        <f t="shared" si="4"/>
        <v>0</v>
      </c>
    </row>
    <row r="21" ht="40.5" customHeight="1" spans="1:20">
      <c r="A21" s="4" t="s">
        <v>542</v>
      </c>
      <c r="B21" s="4" t="s">
        <v>543</v>
      </c>
      <c r="C21" s="4" t="s">
        <v>544</v>
      </c>
      <c r="D21" s="19" t="s">
        <v>30</v>
      </c>
      <c r="E21" s="4" t="s">
        <v>545</v>
      </c>
      <c r="F21" s="4" t="s">
        <v>546</v>
      </c>
      <c r="G21" s="4" t="s">
        <v>547</v>
      </c>
      <c r="H21" s="4" t="s">
        <v>548</v>
      </c>
      <c r="I21" s="4" t="s">
        <v>549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f t="shared" si="0"/>
        <v>0</v>
      </c>
      <c r="Q21" s="16">
        <f t="shared" si="1"/>
        <v>0</v>
      </c>
      <c r="R21" s="16">
        <f t="shared" si="2"/>
        <v>0</v>
      </c>
      <c r="S21" s="16">
        <f t="shared" si="3"/>
        <v>0</v>
      </c>
      <c r="T21" s="16">
        <f t="shared" si="4"/>
        <v>0</v>
      </c>
    </row>
    <row r="22" ht="40.5" customHeight="1" spans="1:20">
      <c r="A22" s="4" t="s">
        <v>550</v>
      </c>
      <c r="B22" s="4" t="s">
        <v>551</v>
      </c>
      <c r="C22" s="4" t="s">
        <v>544</v>
      </c>
      <c r="D22" s="19" t="s">
        <v>30</v>
      </c>
      <c r="E22" s="4" t="s">
        <v>552</v>
      </c>
      <c r="F22" s="4" t="s">
        <v>553</v>
      </c>
      <c r="G22" s="4" t="s">
        <v>554</v>
      </c>
      <c r="H22" s="4" t="s">
        <v>548</v>
      </c>
      <c r="I22" s="4" t="s">
        <v>549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f t="shared" si="0"/>
        <v>0</v>
      </c>
      <c r="Q22" s="16">
        <f t="shared" si="1"/>
        <v>0</v>
      </c>
      <c r="R22" s="16">
        <f t="shared" si="2"/>
        <v>0</v>
      </c>
      <c r="S22" s="16">
        <f t="shared" si="3"/>
        <v>0</v>
      </c>
      <c r="T22" s="16">
        <f t="shared" si="4"/>
        <v>0</v>
      </c>
    </row>
    <row r="23" ht="40.5" customHeight="1" spans="1:20">
      <c r="A23" s="4" t="s">
        <v>555</v>
      </c>
      <c r="B23" s="4" t="s">
        <v>556</v>
      </c>
      <c r="C23" s="4" t="s">
        <v>544</v>
      </c>
      <c r="D23" s="19" t="s">
        <v>30</v>
      </c>
      <c r="E23" s="4" t="s">
        <v>557</v>
      </c>
      <c r="F23" s="4" t="s">
        <v>558</v>
      </c>
      <c r="G23" s="4" t="s">
        <v>559</v>
      </c>
      <c r="H23" s="4" t="s">
        <v>548</v>
      </c>
      <c r="I23" s="4" t="s">
        <v>549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f t="shared" si="0"/>
        <v>0</v>
      </c>
      <c r="Q23" s="16">
        <f t="shared" si="1"/>
        <v>0</v>
      </c>
      <c r="R23" s="16">
        <f t="shared" si="2"/>
        <v>0</v>
      </c>
      <c r="S23" s="16">
        <f t="shared" si="3"/>
        <v>0</v>
      </c>
      <c r="T23" s="16">
        <f t="shared" si="4"/>
        <v>0</v>
      </c>
    </row>
    <row r="24" ht="40.5" customHeight="1" spans="1:20">
      <c r="A24" s="4" t="s">
        <v>560</v>
      </c>
      <c r="B24" s="4" t="s">
        <v>561</v>
      </c>
      <c r="C24" s="4" t="s">
        <v>544</v>
      </c>
      <c r="D24" s="20" t="s">
        <v>33</v>
      </c>
      <c r="E24" s="4" t="s">
        <v>34</v>
      </c>
      <c r="F24" s="4" t="s">
        <v>562</v>
      </c>
      <c r="G24" s="4" t="s">
        <v>563</v>
      </c>
      <c r="H24" s="4" t="s">
        <v>548</v>
      </c>
      <c r="I24" s="4" t="s">
        <v>564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f t="shared" si="0"/>
        <v>0</v>
      </c>
      <c r="Q24" s="16">
        <f t="shared" si="1"/>
        <v>0</v>
      </c>
      <c r="R24" s="16">
        <f t="shared" si="2"/>
        <v>0</v>
      </c>
      <c r="S24" s="16">
        <f t="shared" si="3"/>
        <v>0</v>
      </c>
      <c r="T24" s="16">
        <f t="shared" si="4"/>
        <v>0</v>
      </c>
    </row>
  </sheetData>
  <mergeCells count="2">
    <mergeCell ref="A1:T1"/>
    <mergeCell ref="A2:T2"/>
  </mergeCells>
  <pageMargins left="0.7" right="0.7" top="0.75" bottom="0.75" header="0.3" footer="0.3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7"/>
  <sheetViews>
    <sheetView showGridLines="0" workbookViewId="0">
      <selection activeCell="A1" sqref="A1:F1"/>
    </sheetView>
  </sheetViews>
  <sheetFormatPr defaultColWidth="9" defaultRowHeight="14.25" outlineLevelCol="5"/>
  <cols>
    <col min="1" max="1" width="25.6333333333333" customWidth="1"/>
    <col min="2" max="5" width="16.8833333333333" customWidth="1"/>
    <col min="6" max="6" width="15" customWidth="1"/>
  </cols>
  <sheetData>
    <row r="1" ht="31.5" customHeight="1" spans="1:6">
      <c r="A1" s="1" t="s">
        <v>565</v>
      </c>
      <c r="B1" s="1"/>
      <c r="C1" s="1"/>
      <c r="D1" s="1"/>
      <c r="E1" s="1"/>
      <c r="F1" s="1"/>
    </row>
    <row r="2" ht="27" customHeight="1" spans="1:6">
      <c r="A2" s="2" t="s">
        <v>566</v>
      </c>
      <c r="B2" s="2"/>
      <c r="C2" s="2"/>
      <c r="D2" s="2"/>
      <c r="E2" s="2"/>
      <c r="F2" s="2"/>
    </row>
    <row r="4" ht="27" customHeight="1" spans="1:6">
      <c r="A4" s="3" t="s">
        <v>567</v>
      </c>
      <c r="B4" s="3" t="s">
        <v>568</v>
      </c>
      <c r="C4" s="3" t="s">
        <v>569</v>
      </c>
      <c r="D4" s="3" t="s">
        <v>570</v>
      </c>
    </row>
    <row r="5" ht="21" customHeight="1" spans="1:6">
      <c r="A5" s="4" t="s">
        <v>12</v>
      </c>
      <c r="B5" s="4">
        <f>COUNTA(个人牌设计!$A$5:$A$71)</f>
        <v>67</v>
      </c>
      <c r="C5" s="4">
        <v>67</v>
      </c>
      <c r="D5" s="5" t="str">
        <f t="shared" ref="D5:D10" si="0">IF(B5=C5,"通过","检查")</f>
        <v>通过</v>
      </c>
    </row>
    <row r="6" ht="21" customHeight="1" spans="1:6">
      <c r="A6" s="4" t="s">
        <v>14</v>
      </c>
      <c r="B6" s="4">
        <f>SUM(个人牌设计!$K$5:$K$71)</f>
        <v>160</v>
      </c>
      <c r="C6" s="4">
        <v>160</v>
      </c>
      <c r="D6" s="5" t="str">
        <f t="shared" si="0"/>
        <v>通过</v>
      </c>
    </row>
    <row r="7" ht="21" customHeight="1" spans="1:6">
      <c r="A7" s="4" t="s">
        <v>571</v>
      </c>
      <c r="B7" s="4">
        <f>COUNTA(个人牌印刷清单!$A$5:$A$164)</f>
        <v>160</v>
      </c>
      <c r="C7" s="4">
        <v>160</v>
      </c>
      <c r="D7" s="5" t="str">
        <f t="shared" si="0"/>
        <v>通过</v>
      </c>
    </row>
    <row r="8" ht="21" customHeight="1" spans="1:6">
      <c r="A8" s="4" t="s">
        <v>16</v>
      </c>
      <c r="B8" s="4">
        <f>COUNTA(公共事件牌!$A$5:$A$24)</f>
        <v>20</v>
      </c>
      <c r="C8" s="4">
        <v>20</v>
      </c>
      <c r="D8" s="5" t="str">
        <f t="shared" si="0"/>
        <v>通过</v>
      </c>
    </row>
    <row r="9" ht="21" customHeight="1" spans="1:6">
      <c r="A9" s="4" t="s">
        <v>572</v>
      </c>
      <c r="B9" s="4">
        <f>1</f>
        <v>1</v>
      </c>
      <c r="C9" s="4">
        <v>1</v>
      </c>
      <c r="D9" s="5" t="str">
        <f t="shared" si="0"/>
        <v>通过</v>
      </c>
    </row>
    <row r="10" ht="21" customHeight="1" spans="1:6">
      <c r="A10" s="4" t="s">
        <v>573</v>
      </c>
      <c r="B10" s="4">
        <f>8*B9</f>
        <v>8</v>
      </c>
      <c r="C10" s="4">
        <v>8</v>
      </c>
      <c r="D10" s="5" t="str">
        <f t="shared" si="0"/>
        <v>通过</v>
      </c>
    </row>
    <row r="11" ht="21" customHeight="1"/>
    <row r="12" ht="21" customHeight="1" spans="1:6">
      <c r="A12" s="3" t="s">
        <v>4</v>
      </c>
      <c r="B12" s="3" t="s">
        <v>19</v>
      </c>
      <c r="C12" s="3" t="s">
        <v>569</v>
      </c>
      <c r="D12" s="3" t="s">
        <v>570</v>
      </c>
    </row>
    <row r="13" ht="21" customHeight="1" spans="1:6">
      <c r="A13" s="4" t="s">
        <v>9</v>
      </c>
      <c r="B13" s="4">
        <f>SUMIF(个人牌设计!$C$5:$C$71,A13,个人牌设计!$K$5:$K$71)</f>
        <v>96</v>
      </c>
      <c r="C13" s="4">
        <v>96</v>
      </c>
      <c r="D13" s="5" t="str">
        <f>IF(B13=C13,"通过","检查")</f>
        <v>通过</v>
      </c>
    </row>
    <row r="14" ht="21" customHeight="1" spans="1:6">
      <c r="A14" s="4" t="s">
        <v>11</v>
      </c>
      <c r="B14" s="4">
        <f>SUMIF(个人牌设计!$C$5:$C$71,A14,个人牌设计!$K$5:$K$71)</f>
        <v>24</v>
      </c>
      <c r="C14" s="4">
        <v>24</v>
      </c>
      <c r="D14" s="5" t="str">
        <f>IF(B14=C14,"通过","检查")</f>
        <v>通过</v>
      </c>
    </row>
    <row r="15" ht="21" customHeight="1" spans="1:6">
      <c r="A15" s="4" t="s">
        <v>13</v>
      </c>
      <c r="B15" s="4">
        <f>SUMIF(个人牌设计!$C$5:$C$71,A15,个人牌设计!$K$5:$K$71)</f>
        <v>16</v>
      </c>
      <c r="C15" s="4">
        <v>16</v>
      </c>
      <c r="D15" s="5" t="str">
        <f>IF(B15=C15,"通过","检查")</f>
        <v>通过</v>
      </c>
    </row>
    <row r="16" ht="21" customHeight="1" spans="1:6">
      <c r="A16" s="4" t="s">
        <v>15</v>
      </c>
      <c r="B16" s="4">
        <f>SUMIF(个人牌设计!$C$5:$C$71,A16,个人牌设计!$K$5:$K$71)</f>
        <v>24</v>
      </c>
      <c r="C16" s="4">
        <v>24</v>
      </c>
      <c r="D16" s="5" t="str">
        <f>IF(B16=C16,"通过","检查")</f>
        <v>通过</v>
      </c>
    </row>
    <row r="17" ht="21" customHeight="1" spans="1:6">
      <c r="A17" s="4" t="s">
        <v>17</v>
      </c>
      <c r="B17" s="4">
        <f>SUM(B13:B16)</f>
        <v>160</v>
      </c>
      <c r="C17" s="4">
        <v>160</v>
      </c>
      <c r="D17" s="5" t="str">
        <f>IF(B17=C17,"通过","检查")</f>
        <v>通过</v>
      </c>
    </row>
    <row r="18" ht="21" customHeight="1"/>
    <row r="19" ht="21" customHeight="1" spans="1:6">
      <c r="A19" s="3" t="s">
        <v>18</v>
      </c>
      <c r="B19" s="3" t="s">
        <v>19</v>
      </c>
      <c r="C19" s="3" t="s">
        <v>569</v>
      </c>
      <c r="D19" s="3" t="s">
        <v>570</v>
      </c>
    </row>
    <row r="20" ht="21" customHeight="1" spans="1:6">
      <c r="A20" s="4" t="s">
        <v>23</v>
      </c>
      <c r="B20" s="4">
        <f>SUMIF(个人牌设计!$D$5:$D$71,A20,个人牌设计!$K$5:$K$71)</f>
        <v>88</v>
      </c>
      <c r="C20" s="4">
        <v>88</v>
      </c>
      <c r="D20" s="5" t="str">
        <f t="shared" ref="D20:D25" si="1">IF(B20=C20,"通过","检查")</f>
        <v>通过</v>
      </c>
    </row>
    <row r="21" ht="21" customHeight="1" spans="1:6">
      <c r="A21" s="4" t="s">
        <v>24</v>
      </c>
      <c r="B21" s="4">
        <f>SUMIF(个人牌设计!$D$5:$D$71,A21,个人牌设计!$K$5:$K$71)</f>
        <v>24</v>
      </c>
      <c r="C21" s="4">
        <v>24</v>
      </c>
      <c r="D21" s="5" t="str">
        <f t="shared" si="1"/>
        <v>通过</v>
      </c>
    </row>
    <row r="22" ht="21" customHeight="1" spans="1:6">
      <c r="A22" s="4" t="s">
        <v>26</v>
      </c>
      <c r="B22" s="4">
        <f>SUMIF(个人牌设计!$D$5:$D$71,A22,个人牌设计!$K$5:$K$71)</f>
        <v>8</v>
      </c>
      <c r="C22" s="4">
        <v>8</v>
      </c>
      <c r="D22" s="5" t="str">
        <f t="shared" si="1"/>
        <v>通过</v>
      </c>
    </row>
    <row r="23" ht="21" customHeight="1" spans="1:6">
      <c r="A23" s="4" t="s">
        <v>28</v>
      </c>
      <c r="B23" s="4">
        <f>SUMIF(个人牌设计!$D$5:$D$71,A23,个人牌设计!$K$5:$K$71)</f>
        <v>16</v>
      </c>
      <c r="C23" s="4">
        <v>16</v>
      </c>
      <c r="D23" s="5" t="str">
        <f t="shared" si="1"/>
        <v>通过</v>
      </c>
    </row>
    <row r="24" ht="21" customHeight="1" spans="1:6">
      <c r="A24" s="4" t="s">
        <v>32</v>
      </c>
      <c r="B24" s="4">
        <f>SUMIF(个人牌设计!$D$5:$D$71,A24,个人牌设计!$K$5:$K$71)</f>
        <v>24</v>
      </c>
      <c r="C24" s="4">
        <v>24</v>
      </c>
      <c r="D24" s="5" t="str">
        <f t="shared" si="1"/>
        <v>通过</v>
      </c>
    </row>
    <row r="25" ht="21" customHeight="1" spans="1:6">
      <c r="A25" s="4" t="s">
        <v>17</v>
      </c>
      <c r="B25" s="4">
        <f>SUM(B20:B24)</f>
        <v>160</v>
      </c>
      <c r="C25" s="4">
        <v>160</v>
      </c>
      <c r="D25" s="5" t="str">
        <f t="shared" si="1"/>
        <v>通过</v>
      </c>
    </row>
    <row r="26" ht="21" customHeight="1"/>
    <row r="27" ht="21" customHeight="1" spans="1:6">
      <c r="A27" s="3" t="s">
        <v>574</v>
      </c>
      <c r="B27" s="3" t="s">
        <v>575</v>
      </c>
      <c r="C27" s="3" t="s">
        <v>576</v>
      </c>
      <c r="D27" s="3" t="s">
        <v>577</v>
      </c>
      <c r="E27" s="3" t="s">
        <v>578</v>
      </c>
      <c r="F27" s="3" t="s">
        <v>570</v>
      </c>
    </row>
    <row r="28" ht="21" customHeight="1" spans="1:6">
      <c r="A28" s="4" t="s">
        <v>67</v>
      </c>
      <c r="B28" s="4">
        <f>SUM(个人牌设计!$K$5:$K$9)</f>
        <v>12</v>
      </c>
      <c r="C28" s="4">
        <f>SUM(个人牌设计!$K$10:$K$14)</f>
        <v>12</v>
      </c>
      <c r="D28" s="4">
        <f>SUM(个人牌设计!$U$5:$U$9)</f>
        <v>16</v>
      </c>
      <c r="E28" s="4">
        <f>-SUM(个人牌设计!$U$10:$U$14)</f>
        <v>16</v>
      </c>
      <c r="F28" s="5" t="str">
        <f>IF(AND(B28=C28,D28=E28),"通过","检查")</f>
        <v>通过</v>
      </c>
    </row>
    <row r="29" ht="21" customHeight="1" spans="1:6">
      <c r="A29" s="4" t="s">
        <v>105</v>
      </c>
      <c r="B29" s="4">
        <f>SUM(个人牌设计!$K$15:$K$19)</f>
        <v>12</v>
      </c>
      <c r="C29" s="4">
        <f>SUM(个人牌设计!$K$20:$K$24)</f>
        <v>12</v>
      </c>
      <c r="D29" s="4">
        <f>SUM(个人牌设计!$V$15:$V$19)</f>
        <v>16</v>
      </c>
      <c r="E29" s="4">
        <f>-SUM(个人牌设计!$V$20:$V$24)</f>
        <v>16</v>
      </c>
      <c r="F29" s="5" t="str">
        <f>IF(AND(B29=C29,D29=E29),"通过","检查")</f>
        <v>通过</v>
      </c>
    </row>
    <row r="30" ht="21" customHeight="1" spans="1:6">
      <c r="A30" s="4" t="s">
        <v>132</v>
      </c>
      <c r="B30" s="4">
        <f>SUM(个人牌设计!$K$25:$K$29)</f>
        <v>12</v>
      </c>
      <c r="C30" s="4">
        <f>SUM(个人牌设计!$K$30:$K$34)</f>
        <v>12</v>
      </c>
      <c r="D30" s="4">
        <f>SUM(个人牌设计!$W$25:$W$29)</f>
        <v>16</v>
      </c>
      <c r="E30" s="4">
        <f>-SUM(个人牌设计!$W$30:$W$34)</f>
        <v>16</v>
      </c>
      <c r="F30" s="5" t="str">
        <f>IF(AND(B30=C30,D30=E30),"通过","检查")</f>
        <v>通过</v>
      </c>
    </row>
    <row r="31" ht="21" customHeight="1" spans="1:6">
      <c r="A31" s="4" t="s">
        <v>159</v>
      </c>
      <c r="B31" s="4">
        <f>SUM(个人牌设计!$K$35:$K$39)</f>
        <v>12</v>
      </c>
      <c r="C31" s="4">
        <f>SUM(个人牌设计!$K$40:$K$44)</f>
        <v>12</v>
      </c>
      <c r="D31" s="4">
        <f>SUM(个人牌设计!$X$35:$X$39)</f>
        <v>16</v>
      </c>
      <c r="E31" s="4">
        <f>-SUM(个人牌设计!$X$40:$X$44)</f>
        <v>16</v>
      </c>
      <c r="F31" s="5" t="str">
        <f>IF(AND(B31=C31,D31=E31),"通过","检查")</f>
        <v>通过</v>
      </c>
    </row>
    <row r="32" ht="21" customHeight="1"/>
    <row r="33" ht="21" customHeight="1" spans="1:6">
      <c r="A33" s="3" t="s">
        <v>579</v>
      </c>
      <c r="B33" s="3" t="s">
        <v>580</v>
      </c>
      <c r="C33" s="3" t="s">
        <v>581</v>
      </c>
      <c r="D33" s="3" t="s">
        <v>582</v>
      </c>
      <c r="E33" s="3" t="s">
        <v>583</v>
      </c>
      <c r="F33" s="3" t="s">
        <v>570</v>
      </c>
    </row>
    <row r="34" ht="21" customHeight="1" spans="1:6">
      <c r="A34" s="4" t="s">
        <v>67</v>
      </c>
      <c r="B34" s="4">
        <f>个人牌设计!$U$57</f>
        <v>4</v>
      </c>
      <c r="C34" s="4">
        <f>-个人牌设计!$U$58</f>
        <v>4</v>
      </c>
      <c r="D34" s="4">
        <f>公共事件牌!$Q$19</f>
        <v>3</v>
      </c>
      <c r="E34" s="4">
        <f>-公共事件牌!$Q$20</f>
        <v>3</v>
      </c>
      <c r="F34" s="5" t="str">
        <f>IF(AND(B34=C34,D34=E34),"通过","检查")</f>
        <v>通过</v>
      </c>
    </row>
    <row r="35" ht="21" customHeight="1" spans="1:6">
      <c r="A35" s="4" t="s">
        <v>105</v>
      </c>
      <c r="B35" s="4">
        <f>个人牌设计!$V$59</f>
        <v>4</v>
      </c>
      <c r="C35" s="4">
        <f>-个人牌设计!$V$60</f>
        <v>4</v>
      </c>
      <c r="D35" s="4">
        <f>公共事件牌!$R$17</f>
        <v>3</v>
      </c>
      <c r="E35" s="4">
        <f>-公共事件牌!$R$18</f>
        <v>3</v>
      </c>
      <c r="F35" s="5" t="str">
        <f>IF(AND(B35=C35,D35=E35),"通过","检查")</f>
        <v>通过</v>
      </c>
    </row>
    <row r="36" ht="21" customHeight="1" spans="1:6">
      <c r="A36" s="4" t="s">
        <v>132</v>
      </c>
      <c r="B36" s="4">
        <f>个人牌设计!$W$61</f>
        <v>4</v>
      </c>
      <c r="C36" s="4">
        <f>-个人牌设计!$W$62</f>
        <v>4</v>
      </c>
      <c r="D36" s="4">
        <f>公共事件牌!$S$19</f>
        <v>3</v>
      </c>
      <c r="E36" s="4">
        <f>-公共事件牌!$S$20</f>
        <v>3</v>
      </c>
      <c r="F36" s="5" t="str">
        <f>IF(AND(B36=C36,D36=E36),"通过","检查")</f>
        <v>通过</v>
      </c>
    </row>
    <row r="37" ht="21" customHeight="1" spans="1:6">
      <c r="A37" s="4" t="s">
        <v>159</v>
      </c>
      <c r="B37" s="4">
        <f>个人牌设计!$X$63</f>
        <v>4</v>
      </c>
      <c r="C37" s="4">
        <f>-个人牌设计!$X$64</f>
        <v>4</v>
      </c>
      <c r="D37" s="4">
        <f>公共事件牌!$T$17</f>
        <v>3</v>
      </c>
      <c r="E37" s="4">
        <f>-公共事件牌!$T$18</f>
        <v>3</v>
      </c>
      <c r="F37" s="5" t="str">
        <f>IF(AND(B37=C37,D37=E37),"通过","检查")</f>
        <v>通过</v>
      </c>
    </row>
    <row r="38" ht="21" customHeight="1"/>
    <row r="39" ht="21" customHeight="1" spans="1:6">
      <c r="A39" s="3" t="s">
        <v>584</v>
      </c>
      <c r="B39" s="3" t="s">
        <v>585</v>
      </c>
      <c r="C39" s="3" t="s">
        <v>586</v>
      </c>
      <c r="D39" s="3" t="s">
        <v>587</v>
      </c>
      <c r="E39" s="3" t="s">
        <v>306</v>
      </c>
      <c r="F39" s="3" t="s">
        <v>570</v>
      </c>
    </row>
    <row r="40" ht="21" customHeight="1" spans="1:6">
      <c r="A40" s="4" t="s">
        <v>67</v>
      </c>
      <c r="B40" s="4">
        <f>公共事件牌!$Q$5+公共事件牌!$Q$7</f>
        <v>4</v>
      </c>
      <c r="C40" s="4">
        <f>-(公共事件牌!$Q$6+公共事件牌!$Q$8)</f>
        <v>4</v>
      </c>
      <c r="D40" s="4">
        <f>B40-C40</f>
        <v>0</v>
      </c>
      <c r="E40" s="4">
        <f>0</f>
        <v>0</v>
      </c>
      <c r="F40" s="5" t="str">
        <f>IF(D40=E40,"通过","检查")</f>
        <v>通过</v>
      </c>
    </row>
    <row r="41" ht="21" customHeight="1" spans="1:6">
      <c r="A41" s="4" t="s">
        <v>105</v>
      </c>
      <c r="B41" s="4">
        <f>公共事件牌!$R$5+公共事件牌!$R$9</f>
        <v>4</v>
      </c>
      <c r="C41" s="4">
        <f>-(公共事件牌!$R$6+公共事件牌!$R$10)</f>
        <v>4</v>
      </c>
      <c r="D41" s="4">
        <f>B41-C41</f>
        <v>0</v>
      </c>
      <c r="E41" s="4">
        <f>0</f>
        <v>0</v>
      </c>
      <c r="F41" s="5" t="str">
        <f>IF(D41=E41,"通过","检查")</f>
        <v>通过</v>
      </c>
    </row>
    <row r="42" ht="21" customHeight="1" spans="1:6">
      <c r="A42" s="4" t="s">
        <v>132</v>
      </c>
      <c r="B42" s="4">
        <f>公共事件牌!$S$5+公共事件牌!$S$11+公共事件牌!$S$15</f>
        <v>4</v>
      </c>
      <c r="C42" s="4">
        <f>-(公共事件牌!$S$6+公共事件牌!$S$12+公共事件牌!$S$16)</f>
        <v>4</v>
      </c>
      <c r="D42" s="4">
        <f>B42-C42</f>
        <v>0</v>
      </c>
      <c r="E42" s="4">
        <f>0</f>
        <v>0</v>
      </c>
      <c r="F42" s="5" t="str">
        <f>IF(D42=E42,"通过","检查")</f>
        <v>通过</v>
      </c>
    </row>
    <row r="43" ht="21" customHeight="1" spans="1:6">
      <c r="A43" s="4" t="s">
        <v>159</v>
      </c>
      <c r="B43" s="4">
        <f>公共事件牌!$T$5+公共事件牌!$T$13+公共事件牌!$T$15</f>
        <v>4</v>
      </c>
      <c r="C43" s="4">
        <f>-(公共事件牌!$T$6+公共事件牌!$T$14+公共事件牌!$T$16)</f>
        <v>4</v>
      </c>
      <c r="D43" s="4">
        <f>B43-C43</f>
        <v>0</v>
      </c>
      <c r="E43" s="4">
        <f>0</f>
        <v>0</v>
      </c>
      <c r="F43" s="5" t="str">
        <f>IF(D43=E43,"通过","检查")</f>
        <v>通过</v>
      </c>
    </row>
    <row r="45" spans="1:6">
      <c r="A45" s="6" t="s">
        <v>588</v>
      </c>
      <c r="B45" s="7"/>
      <c r="C45" s="7"/>
      <c r="D45" s="7"/>
      <c r="E45" s="7"/>
      <c r="F45" s="8"/>
    </row>
    <row r="46" spans="1:6">
      <c r="A46" s="9"/>
      <c r="B46" s="10"/>
      <c r="C46" s="10"/>
      <c r="D46" s="10"/>
      <c r="E46" s="10"/>
      <c r="F46" s="11"/>
    </row>
    <row r="47" spans="1:6">
      <c r="A47" s="12"/>
      <c r="B47" s="13"/>
      <c r="C47" s="13"/>
      <c r="D47" s="13"/>
      <c r="E47" s="13"/>
      <c r="F47" s="14"/>
    </row>
  </sheetData>
  <mergeCells count="5">
    <mergeCell ref="A1:F1"/>
    <mergeCell ref="A2:F2"/>
    <mergeCell ref="A45:F45"/>
    <mergeCell ref="A46:F46"/>
    <mergeCell ref="A47:F47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总览</vt:lpstr>
      <vt:lpstr>个人牌设计</vt:lpstr>
      <vt:lpstr>个人牌印刷清单</vt:lpstr>
      <vt:lpstr>公共事件牌</vt:lpstr>
      <vt:lpstr>平衡校验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WPS_1178874220</cp:lastModifiedBy>
  <dcterms:created xsi:type="dcterms:W3CDTF">2026-08-05T12:49:47Z</dcterms:created>
  <dcterms:modified xsi:type="dcterms:W3CDTF">2026-08-05T12:55:54Z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FB32FC2C39FF44F598B286379C7DD345_12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