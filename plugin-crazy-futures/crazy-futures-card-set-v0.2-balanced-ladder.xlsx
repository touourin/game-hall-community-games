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6f8a59ae1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8e4045cac7f14d8a"/>
    <x:sheet xmlns:r="http://schemas.openxmlformats.org/officeDocument/2006/relationships" name="个人牌设计" sheetId="2" r:id="R56827535c1744a94"/>
    <x:sheet xmlns:r="http://schemas.openxmlformats.org/officeDocument/2006/relationships" name="个人牌印刷清单" sheetId="3" r:id="Rd8b90c6c699d4395"/>
    <x:sheet xmlns:r="http://schemas.openxmlformats.org/officeDocument/2006/relationships" name="公共事件牌" sheetId="4" r:id="Rfc2bf3d9c2b441cd"/>
    <x:sheet xmlns:r="http://schemas.openxmlformats.org/officeDocument/2006/relationships" name="平衡校验" sheetId="5" r:id="R6620710d5931451b"/>
    <x:sheet xmlns:r="http://schemas.openxmlformats.org/officeDocument/2006/relationships" name="价格阶梯" sheetId="6" r:id="R9be383974c044e15"/>
  </x:sheets>
</x:workbook>
</file>

<file path=xl/sharedStrings.xml><?xml version="1.0" encoding="utf-8"?>
<x:sst xmlns:x="http://schemas.openxmlformats.org/spreadsheetml/2006/main">
  <x:si>
    <x:t xml:space="preserve">《疯狂期货》卡牌设计总览</x:t>
  </x:si>
  <x:si>
    <x:t xml:space="preserve">160 张个人牌 + 20 张公共事件牌｜时间口径：1 回合 = 1 个月，完整游戏 = 连续 8 个月</x:t>
  </x:si>
  <x:si>
    <x:t xml:space="preserve">核心口径</x:t>
  </x:si>
  <x:si>
    <x:t xml:space="preserve">数值</x:t>
  </x:si>
  <x:si>
    <x:t xml:space="preserve">个人牌类别</x:t>
  </x:si>
  <x:si>
    <x:t xml:space="preserve">不同设计</x:t>
  </x:si>
  <x:si>
    <x:t xml:space="preserve">印刷张数</x:t>
  </x:si>
  <x:si>
    <x:t xml:space="preserve">占比</x:t>
  </x:si>
  <x:si>
    <x:t xml:space="preserve">每回合代表时间</x:t>
  </x:si>
  <x:si>
    <x:t xml:space="preserve">单商品即时信息</x:t>
  </x:si>
  <x:si>
    <x:t xml:space="preserve">完整游戏时间</x:t>
  </x:si>
  <x:si>
    <x:t xml:space="preserve">宏观与联动信息</x:t>
  </x:si>
  <x:si>
    <x:t xml:space="preserve">个人牌不同设计</x:t>
  </x:si>
  <x:si>
    <x:t xml:space="preserve">持续信息</x:t>
  </x:si>
  <x:si>
    <x:t xml:space="preserve">个人牌实体张数</x:t>
  </x:si>
  <x:si>
    <x:t xml:space="preserve">功能牌</x:t>
  </x:si>
  <x:si>
    <x:t xml:space="preserve">公共事件牌张数</x:t>
  </x:si>
  <x:si>
    <x:t xml:space="preserve">合计</x:t>
  </x:si>
  <x:si>
    <x:t xml:space="preserve">个人牌强度</x:t>
  </x:si>
  <x:si>
    <x:t xml:space="preserve">实体张数</x:t>
  </x:si>
  <x:si>
    <x:t xml:space="preserve">公共牌强度</x:t>
  </x:si>
  <x:si>
    <x:t xml:space="preserve">张数</x:t>
  </x:si>
  <x:si>
    <x:t xml:space="preserve">说明</x:t>
  </x:si>
  <x:si>
    <x:t xml:space="preserve">普通</x:t>
  </x:si>
  <x:si>
    <x:t xml:space="preserve">强烈</x:t>
  </x:si>
  <x:si>
    <x:t xml:space="preserve">±2 格或多商品同步 ±1 格</x:t>
  </x:si>
  <x:si>
    <x:t xml:space="preserve">危机</x:t>
  </x:si>
  <x:si>
    <x:t xml:space="preserve">单商品 ±3 格</x:t>
  </x:si>
  <x:si>
    <x:t xml:space="preserve">趋势</x:t>
  </x:si>
  <x:si>
    <x:t xml:space="preserve">连续 3 个月，每月触发</x:t>
  </x:si>
  <x:si>
    <x:t xml:space="preserve">修正</x:t>
  </x:si>
  <x:si>
    <x:t xml:space="preserve">移除一张持续事件</x:t>
  </x:si>
  <x:si>
    <x:t xml:space="preserve">功能</x:t>
  </x:si>
  <x:si>
    <x:t xml:space="preserve">强修正</x:t>
  </x:si>
  <x:si>
    <x:t xml:space="preserve">移除全部持续事件</x:t>
  </x:si>
  <x:si>
    <x:t xml:space="preserve">20 张</x:t>
  </x:si>
  <x:si>
    <x:t xml:space="preserve">时间规则：第 1—8 回合依次代表第 1—8 个月。个人趋势牌在本月与下个月结算时触发；公共趋势事件在本月及之后两个月结算时触发。若游戏先结束，未触发的剩余月份直接失效。</x:t>
  </x:si>
  <x:si>
    <x:t xml:space="preserve">160 张个人牌 - 设计表</x:t>
  </x:si>
  <x:si>
    <x:t xml:space="preserve">设计编号</x:t>
  </x:si>
  <x:si>
    <x:t xml:space="preserve">卡名</x:t>
  </x:si>
  <x:si>
    <x:t xml:space="preserve">类别</x:t>
  </x:si>
  <x:si>
    <x:t xml:space="preserve">强度</x:t>
  </x:si>
  <x:si>
    <x:t xml:space="preserve">子类型</x:t>
  </x:si>
  <x:si>
    <x:t xml:space="preserve">目标商品</x:t>
  </x:si>
  <x:si>
    <x:t xml:space="preserve">使用时点</x:t>
  </x:si>
  <x:si>
    <x:t xml:space="preserve">卡面效果</x:t>
  </x:si>
  <x:si>
    <x:t xml:space="preserve">持续/月度时点</x:t>
  </x:si>
  <x:si>
    <x:t xml:space="preserve">关键词</x:t>
  </x:si>
  <x:si>
    <x:t xml:space="preserve">方向</x:t>
  </x:si>
  <x:si>
    <x:t xml:space="preserve">每月总影响格数</x:t>
  </x:si>
  <x:si>
    <x:t xml:space="preserve">作用月数</x:t>
  </x:si>
  <x:si>
    <x:t xml:space="preserve">单牌等效总格数</x:t>
  </x:si>
  <x:si>
    <x:t xml:space="preserve">牌堆等效总格数</x:t>
  </x:si>
  <x:si>
    <x:t xml:space="preserve">原油每月</x:t>
  </x:si>
  <x:si>
    <x:t xml:space="preserve">黄金每月</x:t>
  </x:si>
  <x:si>
    <x:t xml:space="preserve">棉花每月</x:t>
  </x:si>
  <x:si>
    <x:t xml:space="preserve">铜每月</x:t>
  </x:si>
  <x:si>
    <x:t xml:space="preserve">原油牌堆等效</x:t>
  </x:si>
  <x:si>
    <x:t xml:space="preserve">黄金牌堆等效</x:t>
  </x:si>
  <x:si>
    <x:t xml:space="preserve">棉花牌堆等效</x:t>
  </x:si>
  <x:si>
    <x:t xml:space="preserve">铜牌堆等效</x:t>
  </x:si>
  <x:si>
    <x:t xml:space="preserve">PI-OIL-01</x:t>
  </x:si>
  <x:si>
    <x:t xml:space="preserve">OPEC 超预期减产</x:t>
  </x:si>
  <x:si>
    <x:t xml:space="preserve">单次上涨</x:t>
  </x:si>
  <x:si>
    <x:t xml:space="preserve">原油</x:t>
  </x:si>
  <x:si>
    <x:t xml:space="preserve">出牌阶段</x:t>
  </x:si>
  <x:si>
    <x:t xml:space="preserve">原油现货上涨 1 格。</x:t>
  </x:si>
  <x:si>
    <x:t xml:space="preserve">本月立即结算；不跨月</x:t>
  </x:si>
  <x:si>
    <x:t xml:space="preserve">单次；上涨；普通</x:t>
  </x:si>
  <x:si>
    <x:t xml:space="preserve">上涨</x:t>
  </x:si>
  <x:si>
    <x:t xml:space="preserve">PI-OIL-02</x:t>
  </x:si>
  <x:si>
    <x:t xml:space="preserve">海湾航道受阻</x:t>
  </x:si>
  <x:si>
    <x:t xml:space="preserve">PI-OIL-03</x:t>
  </x:si>
  <x:si>
    <x:t xml:space="preserve">美国原油库存骤降</x:t>
  </x:si>
  <x:si>
    <x:t xml:space="preserve">PI-OIL-04</x:t>
  </x:si>
  <x:si>
    <x:t xml:space="preserve">页岩油钻机数大降</x:t>
  </x:si>
  <x:si>
    <x:t xml:space="preserve">原油现货上涨 2 格。</x:t>
  </x:si>
  <x:si>
    <x:t xml:space="preserve">单次；上涨；强烈</x:t>
  </x:si>
  <x:si>
    <x:t xml:space="preserve">PI-OIL-05</x:t>
  </x:si>
  <x:si>
    <x:t xml:space="preserve">霍尔木兹海峡全面封锁</x:t>
  </x:si>
  <x:si>
    <x:t xml:space="preserve">原油现货上涨 3 格。</x:t>
  </x:si>
  <x:si>
    <x:t xml:space="preserve">单次；上涨；危机</x:t>
  </x:si>
  <x:si>
    <x:t xml:space="preserve">PI-OIL-06</x:t>
  </x:si>
  <x:si>
    <x:t xml:space="preserve">OPEC 增产分歧</x:t>
  </x:si>
  <x:si>
    <x:t xml:space="preserve">单次下跌</x:t>
  </x:si>
  <x:si>
    <x:t xml:space="preserve">原油现货下跌 1 格。</x:t>
  </x:si>
  <x:si>
    <x:t xml:space="preserve">单次；下跌；普通</x:t>
  </x:si>
  <x:si>
    <x:t xml:space="preserve">下跌</x:t>
  </x:si>
  <x:si>
    <x:t xml:space="preserve">PI-OIL-07</x:t>
  </x:si>
  <x:si>
    <x:t xml:space="preserve">战略储备释放</x:t>
  </x:si>
  <x:si>
    <x:t xml:space="preserve">PI-OIL-08</x:t>
  </x:si>
  <x:si>
    <x:t xml:space="preserve">美国库存意外累积</x:t>
  </x:si>
  <x:si>
    <x:t xml:space="preserve">PI-OIL-09</x:t>
  </x:si>
  <x:si>
    <x:t xml:space="preserve">全球原油需求骤降</x:t>
  </x:si>
  <x:si>
    <x:t xml:space="preserve">原油现货下跌 2 格。</x:t>
  </x:si>
  <x:si>
    <x:t xml:space="preserve">单次；下跌；强烈</x:t>
  </x:si>
  <x:si>
    <x:t xml:space="preserve">PI-OIL-10</x:t>
  </x:si>
  <x:si>
    <x:t xml:space="preserve">主要产油国全面价格战</x:t>
  </x:si>
  <x:si>
    <x:t xml:space="preserve">原油现货下跌 3 格。</x:t>
  </x:si>
  <x:si>
    <x:t xml:space="preserve">单次；下跌；危机</x:t>
  </x:si>
  <x:si>
    <x:t xml:space="preserve">PI-GOLD-01</x:t>
  </x:si>
  <x:si>
    <x:t xml:space="preserve">美联储释放降息信号</x:t>
  </x:si>
  <x:si>
    <x:t xml:space="preserve">黄金</x:t>
  </x:si>
  <x:si>
    <x:t xml:space="preserve">黄金现货上涨 1 格。</x:t>
  </x:si>
  <x:si>
    <x:t xml:space="preserve">PI-GOLD-02</x:t>
  </x:si>
  <x:si>
    <x:t xml:space="preserve">地缘避险升温</x:t>
  </x:si>
  <x:si>
    <x:t xml:space="preserve">PI-GOLD-03</x:t>
  </x:si>
  <x:si>
    <x:t xml:space="preserve">全球央行增持黄金</x:t>
  </x:si>
  <x:si>
    <x:t xml:space="preserve">PI-GOLD-04</x:t>
  </x:si>
  <x:si>
    <x:t xml:space="preserve">实际利率快速回落</x:t>
  </x:si>
  <x:si>
    <x:t xml:space="preserve">黄金现货上涨 2 格。</x:t>
  </x:si>
  <x:si>
    <x:t xml:space="preserve">PI-GOLD-05</x:t>
  </x:si>
  <x:si>
    <x:t xml:space="preserve">全球金融系统性危机</x:t>
  </x:si>
  <x:si>
    <x:t xml:space="preserve">黄金现货上涨 3 格。</x:t>
  </x:si>
  <x:si>
    <x:t xml:space="preserve">PI-GOLD-06</x:t>
  </x:si>
  <x:si>
    <x:t xml:space="preserve">美联储鹰派加息</x:t>
  </x:si>
  <x:si>
    <x:t xml:space="preserve">黄金现货下跌 1 格。</x:t>
  </x:si>
  <x:si>
    <x:t xml:space="preserve">PI-GOLD-07</x:t>
  </x:si>
  <x:si>
    <x:t xml:space="preserve">风险偏好全面回归</x:t>
  </x:si>
  <x:si>
    <x:t xml:space="preserve">PI-GOLD-08</x:t>
  </x:si>
  <x:si>
    <x:t xml:space="preserve">全球央行减持黄金</x:t>
  </x:si>
  <x:si>
    <x:t xml:space="preserve">PI-GOLD-09</x:t>
  </x:si>
  <x:si>
    <x:t xml:space="preserve">实际利率急剧上行</x:t>
  </x:si>
  <x:si>
    <x:t xml:space="preserve">黄金现货下跌 2 格。</x:t>
  </x:si>
  <x:si>
    <x:t xml:space="preserve">PI-GOLD-10</x:t>
  </x:si>
  <x:si>
    <x:t xml:space="preserve">主要央行联合抛售黄金</x:t>
  </x:si>
  <x:si>
    <x:t xml:space="preserve">黄金现货下跌 3 格。</x:t>
  </x:si>
  <x:si>
    <x:t xml:space="preserve">PI-COTTON-01</x:t>
  </x:si>
  <x:si>
    <x:t xml:space="preserve">主产区极端干旱</x:t>
  </x:si>
  <x:si>
    <x:t xml:space="preserve">棉花</x:t>
  </x:si>
  <x:si>
    <x:t xml:space="preserve">棉花现货上涨 1 格。</x:t>
  </x:si>
  <x:si>
    <x:t xml:space="preserve">PI-COTTON-02</x:t>
  </x:si>
  <x:si>
    <x:t xml:space="preserve">虫害预警升级</x:t>
  </x:si>
  <x:si>
    <x:t xml:space="preserve">PI-COTTON-03</x:t>
  </x:si>
  <x:si>
    <x:t xml:space="preserve">出口订单超预期</x:t>
  </x:si>
  <x:si>
    <x:t xml:space="preserve">PI-COTTON-04</x:t>
  </x:si>
  <x:si>
    <x:t xml:space="preserve">主产区减产预警</x:t>
  </x:si>
  <x:si>
    <x:t xml:space="preserve">棉花现货上涨 2 格。</x:t>
  </x:si>
  <x:si>
    <x:t xml:space="preserve">PI-COTTON-05</x:t>
  </x:si>
  <x:si>
    <x:t xml:space="preserve">全球主产区极端气候灾难</x:t>
  </x:si>
  <x:si>
    <x:t xml:space="preserve">棉花现货上涨 3 格。</x:t>
  </x:si>
  <x:si>
    <x:t xml:space="preserve">PI-COTTON-06</x:t>
  </x:si>
  <x:si>
    <x:t xml:space="preserve">主产区丰收预期</x:t>
  </x:si>
  <x:si>
    <x:t xml:space="preserve">棉花现货下跌 1 格。</x:t>
  </x:si>
  <x:si>
    <x:t xml:space="preserve">PI-COTTON-07</x:t>
  </x:si>
  <x:si>
    <x:t xml:space="preserve">国储棉集中投放</x:t>
  </x:si>
  <x:si>
    <x:t xml:space="preserve">PI-COTTON-08</x:t>
  </x:si>
  <x:si>
    <x:t xml:space="preserve">纺织订单下滑</x:t>
  </x:si>
  <x:si>
    <x:t xml:space="preserve">PI-COTTON-09</x:t>
  </x:si>
  <x:si>
    <x:t xml:space="preserve">全球纺织需求骤降</x:t>
  </x:si>
  <x:si>
    <x:t xml:space="preserve">棉花现货下跌 2 格。</x:t>
  </x:si>
  <x:si>
    <x:t xml:space="preserve">PI-COTTON-10</x:t>
  </x:si>
  <x:si>
    <x:t xml:space="preserve">主产国历史性丰收</x:t>
  </x:si>
  <x:si>
    <x:t xml:space="preserve">棉花现货下跌 3 格。</x:t>
  </x:si>
  <x:si>
    <x:t xml:space="preserve">PI-COPPER-01</x:t>
  </x:si>
  <x:si>
    <x:t xml:space="preserve">全球电网投资提速</x:t>
  </x:si>
  <x:si>
    <x:t xml:space="preserve">铜</x:t>
  </x:si>
  <x:si>
    <x:t xml:space="preserve">铜现货上涨 1 格。</x:t>
  </x:si>
  <x:si>
    <x:t xml:space="preserve">PI-COPPER-02</x:t>
  </x:si>
  <x:si>
    <x:t xml:space="preserve">主要铜矿罢工</x:t>
  </x:si>
  <x:si>
    <x:t xml:space="preserve">PI-COPPER-03</x:t>
  </x:si>
  <x:si>
    <x:t xml:space="preserve">新能源补贴加码</x:t>
  </x:si>
  <x:si>
    <x:t xml:space="preserve">PI-COPPER-04</x:t>
  </x:si>
  <x:si>
    <x:t xml:space="preserve">精炼铜库存降至警戒线</x:t>
  </x:si>
  <x:si>
    <x:t xml:space="preserve">铜现货上涨 2 格。</x:t>
  </x:si>
  <x:si>
    <x:t xml:space="preserve">PI-COPPER-05</x:t>
  </x:si>
  <x:si>
    <x:t xml:space="preserve">全球主要铜矿同时停产</x:t>
  </x:si>
  <x:si>
    <x:t xml:space="preserve">铜现货上涨 3 格。</x:t>
  </x:si>
  <x:si>
    <x:t xml:space="preserve">PI-COPPER-06</x:t>
  </x:si>
  <x:si>
    <x:t xml:space="preserve">房地产开工骤降</x:t>
  </x:si>
  <x:si>
    <x:t xml:space="preserve">铜现货下跌 1 格。</x:t>
  </x:si>
  <x:si>
    <x:t xml:space="preserve">PI-COPPER-07</x:t>
  </x:si>
  <x:si>
    <x:t xml:space="preserve">主要铜矿复产</x:t>
  </x:si>
  <x:si>
    <x:t xml:space="preserve">PI-COPPER-08</x:t>
  </x:si>
  <x:si>
    <x:t xml:space="preserve">新能源补贴退坡</x:t>
  </x:si>
  <x:si>
    <x:t xml:space="preserve">PI-COPPER-09</x:t>
  </x:si>
  <x:si>
    <x:t xml:space="preserve">全球制造业衰退</x:t>
  </x:si>
  <x:si>
    <x:t xml:space="preserve">铜现货下跌 2 格。</x:t>
  </x:si>
  <x:si>
    <x:t xml:space="preserve">PI-COPPER-10</x:t>
  </x:si>
  <x:si>
    <x:t xml:space="preserve">房地产投资断崖式收缩</x:t>
  </x:si>
  <x:si>
    <x:t xml:space="preserve">铜现货下跌 3 格。</x:t>
  </x:si>
  <x:si>
    <x:t xml:space="preserve">PI-MACRO-01</x:t>
  </x:si>
  <x:si>
    <x:t xml:space="preserve">联储超预期降息</x:t>
  </x:si>
  <x:si>
    <x:t xml:space="preserve">选择上涨</x:t>
  </x:si>
  <x:si>
    <x:t xml:space="preserve">黄金或铜</x:t>
  </x:si>
  <x:si>
    <x:t xml:space="preserve">选择黄金或铜，使其现货上涨 1 格。</x:t>
  </x:si>
  <x:si>
    <x:t xml:space="preserve">单次；宏观；普通</x:t>
  </x:si>
  <x:si>
    <x:t xml:space="preserve">PI-MACRO-02</x:t>
  </x:si>
  <x:si>
    <x:t xml:space="preserve">联储超预期加息</x:t>
  </x:si>
  <x:si>
    <x:t xml:space="preserve">选择下跌</x:t>
  </x:si>
  <x:si>
    <x:t xml:space="preserve">选择黄金或铜，使其现货下跌 1 格。</x:t>
  </x:si>
  <x:si>
    <x:t xml:space="preserve">PI-MACRO-03</x:t>
  </x:si>
  <x:si>
    <x:t xml:space="preserve">全球制造业 PMI 回升</x:t>
  </x:si>
  <x:si>
    <x:t xml:space="preserve">铜或棉花</x:t>
  </x:si>
  <x:si>
    <x:t xml:space="preserve">选择铜或棉花，使其现货上涨 1 格。</x:t>
  </x:si>
  <x:si>
    <x:t xml:space="preserve">PI-MACRO-04</x:t>
  </x:si>
  <x:si>
    <x:t xml:space="preserve">全球制造业 PMI 收缩</x:t>
  </x:si>
  <x:si>
    <x:t xml:space="preserve">选择铜或棉花，使其现货下跌 1 格。</x:t>
  </x:si>
  <x:si>
    <x:t xml:space="preserve">PI-MACRO-09</x:t>
  </x:si>
  <x:si>
    <x:t xml:space="preserve">新兴市场需求复苏</x:t>
  </x:si>
  <x:si>
    <x:t xml:space="preserve">原油或铜</x:t>
  </x:si>
  <x:si>
    <x:t xml:space="preserve">选择原油或铜，使其现货上涨 1 格。</x:t>
  </x:si>
  <x:si>
    <x:t xml:space="preserve">PI-MACRO-10</x:t>
  </x:si>
  <x:si>
    <x:t xml:space="preserve">新兴市场资本外流</x:t>
  </x:si>
  <x:si>
    <x:t xml:space="preserve">选择原油或铜，使其现货下跌 1 格。</x:t>
  </x:si>
  <x:si>
    <x:t xml:space="preserve">PI-MACRO-11</x:t>
  </x:si>
  <x:si>
    <x:t xml:space="preserve">绿色投资法案通过</x:t>
  </x:si>
  <x:si>
    <x:t xml:space="preserve">双商品联动</x:t>
  </x:si>
  <x:si>
    <x:t xml:space="preserve">铜、原油</x:t>
  </x:si>
  <x:si>
    <x:t xml:space="preserve">铜现货上涨 1 格，同时原油现货下跌 1 格。</x:t>
  </x:si>
  <x:si>
    <x:t xml:space="preserve">单次；宏观；强烈</x:t>
  </x:si>
  <x:si>
    <x:t xml:space="preserve">联动</x:t>
  </x:si>
  <x:si>
    <x:t xml:space="preserve">PI-MACRO-12</x:t>
  </x:si>
  <x:si>
    <x:t xml:space="preserve">化石能源补贴恢复</x:t>
  </x:si>
  <x:si>
    <x:t xml:space="preserve">铜现货下跌 1 格，同时原油现货上涨 1 格。</x:t>
  </x:si>
  <x:si>
    <x:t xml:space="preserve">PI-DURATION-01</x:t>
  </x:si>
  <x:si>
    <x:t xml:space="preserve">OPEC 配额执行期</x:t>
  </x:si>
  <x:si>
    <x:t xml:space="preserve">持续上涨</x:t>
  </x:si>
  <x:si>
    <x:t xml:space="preserve">持续 2 个月：本月与下个月结算时，各使原油现货上涨 1 格。</x:t>
  </x:si>
  <x:si>
    <x:t xml:space="preserve">本月、下个月；每月结算触发 1 次</x:t>
  </x:si>
  <x:si>
    <x:t xml:space="preserve">持续 2 个月；上涨；趋势</x:t>
  </x:si>
  <x:si>
    <x:t xml:space="preserve">PI-DURATION-02</x:t>
  </x:si>
  <x:si>
    <x:t xml:space="preserve">页岩油复产周期</x:t>
  </x:si>
  <x:si>
    <x:t xml:space="preserve">持续下跌</x:t>
  </x:si>
  <x:si>
    <x:t xml:space="preserve">持续 2 个月：本月与下个月结算时，各使原油现货下跌 1 格。</x:t>
  </x:si>
  <x:si>
    <x:t xml:space="preserve">持续 2 个月；下跌；趋势</x:t>
  </x:si>
  <x:si>
    <x:t xml:space="preserve">PI-DURATION-03</x:t>
  </x:si>
  <x:si>
    <x:t xml:space="preserve">央行连续购金</x:t>
  </x:si>
  <x:si>
    <x:t xml:space="preserve">持续 2 个月：本月与下个月结算时，各使黄金现货上涨 1 格。</x:t>
  </x:si>
  <x:si>
    <x:t xml:space="preserve">PI-DURATION-04</x:t>
  </x:si>
  <x:si>
    <x:t xml:space="preserve">实际利率上行周期</x:t>
  </x:si>
  <x:si>
    <x:t xml:space="preserve">持续 2 个月：本月与下个月结算时，各使黄金现货下跌 1 格。</x:t>
  </x:si>
  <x:si>
    <x:t xml:space="preserve">PI-DURATION-05</x:t>
  </x:si>
  <x:si>
    <x:t xml:space="preserve">干旱影响延续</x:t>
  </x:si>
  <x:si>
    <x:t xml:space="preserve">持续 2 个月：本月与下个月结算时，各使棉花现货上涨 1 格。</x:t>
  </x:si>
  <x:si>
    <x:t xml:space="preserve">PI-DURATION-06</x:t>
  </x:si>
  <x:si>
    <x:t xml:space="preserve">丰产兑现周期</x:t>
  </x:si>
  <x:si>
    <x:t xml:space="preserve">持续 2 个月：本月与下个月结算时，各使棉花现货下跌 1 格。</x:t>
  </x:si>
  <x:si>
    <x:t xml:space="preserve">PI-DURATION-07</x:t>
  </x:si>
  <x:si>
    <x:t xml:space="preserve">矿山检修周期</x:t>
  </x:si>
  <x:si>
    <x:t xml:space="preserve">持续 2 个月：本月与下个月结算时，各使铜现货上涨 1 格。</x:t>
  </x:si>
  <x:si>
    <x:t xml:space="preserve">PI-DURATION-08</x:t>
  </x:si>
  <x:si>
    <x:t xml:space="preserve">冶炼产能释放</x:t>
  </x:si>
  <x:si>
    <x:t xml:space="preserve">持续 2 个月：本月与下个月结算时，各使铜现货下跌 1 格。</x:t>
  </x:si>
  <x:si>
    <x:t xml:space="preserve">PF-01</x:t>
  </x:si>
  <x:si>
    <x:t xml:space="preserve">涨停封板</x:t>
  </x:si>
  <x:si>
    <x:t xml:space="preserve">封板</x:t>
  </x:si>
  <x:si>
    <x:t xml:space="preserve">期货涨停商品</x:t>
  </x:si>
  <x:si>
    <x:t xml:space="preserve">选择当前期货价已处于涨停价的一种商品，放置涨停封板标记。封板持续到本月结算结束；只限制主动开仓和加仓。</x:t>
  </x:si>
  <x:si>
    <x:t xml:space="preserve">按卡面结算</x:t>
  </x:si>
  <x:si>
    <x:t xml:space="preserve">封板；涨停；只减仓</x:t>
  </x:si>
  <x:si>
    <x:t xml:space="preserve">无直接价格方向</x:t>
  </x:si>
  <x:si>
    <x:t xml:space="preserve">PF-02</x:t>
  </x:si>
  <x:si>
    <x:t xml:space="preserve">跌停封板</x:t>
  </x:si>
  <x:si>
    <x:t xml:space="preserve">期货跌停商品</x:t>
  </x:si>
  <x:si>
    <x:t xml:space="preserve">选择当前期货价已处于跌停价的一种商品，放置跌停封板标记。封板持续到本月结算结束；只限制主动开仓和加仓。</x:t>
  </x:si>
  <x:si>
    <x:t xml:space="preserve">封板；跌停；只减仓</x:t>
  </x:si>
  <x:si>
    <x:t xml:space="preserve">PF-03</x:t>
  </x:si>
  <x:si>
    <x:t xml:space="preserve">预见</x:t>
  </x:si>
  <x:si>
    <x:t xml:space="preserve">牌堆侦察</x:t>
  </x:si>
  <x:si>
    <x:t xml:space="preserve">公共事件牌堆</x:t>
  </x:si>
  <x:si>
    <x:t xml:space="preserve">查看下个月将翻开的公共事件牌堆顶部 2 张，按原顺序放回。第 8 回合（第 8 个月）不能使用。</x:t>
  </x:si>
  <x:si>
    <x:t xml:space="preserve">预见；下个月</x:t>
  </x:si>
  <x:si>
    <x:t xml:space="preserve">PF-04</x:t>
  </x:si>
  <x:si>
    <x:t xml:space="preserve">优惠授信</x:t>
  </x:si>
  <x:si>
    <x:t xml:space="preserve">借贷</x:t>
  </x:si>
  <x:si>
    <x:t xml:space="preserve">自己</x:t>
  </x:si>
  <x:si>
    <x:t xml:space="preserve">把自己本月新增的一笔贷款改按每月 5% 单利计息；没有本月新增贷款时不能使用。</x:t>
  </x:si>
  <x:si>
    <x:t xml:space="preserve">借贷；每月利息</x:t>
  </x:si>
  <x:si>
    <x:t xml:space="preserve">PF-05</x:t>
  </x:si>
  <x:si>
    <x:t xml:space="preserve">保证金缓冲</x:t>
  </x:si>
  <x:si>
    <x:t xml:space="preserve">保证金</x:t>
  </x:si>
  <x:si>
    <x:t xml:space="preserve">放在自己面前，使紧接着的本月结算阶段中一次保证金补缴减少 10 万金币，最低减至 0，之后弃置。</x:t>
  </x:si>
  <x:si>
    <x:t xml:space="preserve">保证金；本月</x:t>
  </x:si>
  <x:si>
    <x:t xml:space="preserve">PF-06</x:t>
  </x:si>
  <x:si>
    <x:t xml:space="preserve">信息核验</x:t>
  </x:si>
  <x:si>
    <x:t xml:space="preserve">持续牌管理</x:t>
  </x:si>
  <x:si>
    <x:t xml:space="preserve">场上持续个人牌</x:t>
  </x:si>
  <x:si>
    <x:t xml:space="preserve">移除场上一张持续个人信息牌；不逆转以前月份已经发生的价格移动。</x:t>
  </x:si>
  <x:si>
    <x:t xml:space="preserve">移除；持续牌</x:t>
  </x:si>
  <x:si>
    <x:t xml:space="preserve">PF-07</x:t>
  </x:si>
  <x:si>
    <x:t xml:space="preserve">信息置换</x:t>
  </x:si>
  <x:si>
    <x:t xml:space="preserve">手牌管理</x:t>
  </x:si>
  <x:si>
    <x:t xml:space="preserve">抽 2 张个人牌，然后从手中选择 2 张牌弃置。</x:t>
  </x:si>
  <x:si>
    <x:t xml:space="preserve">抽牌；弃牌</x:t>
  </x:si>
  <x:si>
    <x:t xml:space="preserve">160 张个人牌 - 印刷清单</x:t>
  </x:si>
  <x:si>
    <x:t xml:space="preserve">实体卡编号</x:t>
  </x:si>
  <x:si>
    <x:t xml:space="preserve">复本序号</x:t>
  </x:si>
  <x:si>
    <x:t xml:space="preserve">目标</x:t>
  </x:si>
  <x:si>
    <x:t xml:space="preserve">月度/持续</x:t>
  </x:si>
  <x:si>
    <x:t xml:space="preserve">P001</x:t>
  </x:si>
  <x:si>
    <x:t xml:space="preserve">P002</x:t>
  </x:si>
  <x:si>
    <x:t xml:space="preserve">P003</x:t>
  </x:si>
  <x:si>
    <x:t xml:space="preserve">P004</x:t>
  </x:si>
  <x:si>
    <x:t xml:space="preserve">P005</x:t>
  </x:si>
  <x:si>
    <x:t xml:space="preserve">P006</x:t>
  </x:si>
  <x:si>
    <x:t xml:space="preserve">P007</x:t>
  </x:si>
  <x:si>
    <x:t xml:space="preserve">P008</x:t>
  </x:si>
  <x:si>
    <x:t xml:space="preserve">P009</x:t>
  </x:si>
  <x:si>
    <x:t xml:space="preserve">P010</x:t>
  </x:si>
  <x:si>
    <x:t xml:space="preserve">P011</x:t>
  </x:si>
  <x:si>
    <x:t xml:space="preserve">P012</x:t>
  </x:si>
  <x:si>
    <x:t xml:space="preserve">P013</x:t>
  </x:si>
  <x:si>
    <x:t xml:space="preserve">P014</x:t>
  </x:si>
  <x:si>
    <x:t xml:space="preserve">P015</x:t>
  </x:si>
  <x:si>
    <x:t xml:space="preserve">P016</x:t>
  </x:si>
  <x:si>
    <x:t xml:space="preserve">P017</x:t>
  </x:si>
  <x:si>
    <x:t xml:space="preserve">P018</x:t>
  </x:si>
  <x:si>
    <x:t xml:space="preserve">P019</x:t>
  </x:si>
  <x:si>
    <x:t xml:space="preserve">P020</x:t>
  </x:si>
  <x:si>
    <x:t xml:space="preserve">P021</x:t>
  </x:si>
  <x:si>
    <x:t xml:space="preserve">P022</x:t>
  </x:si>
  <x:si>
    <x:t xml:space="preserve">P023</x:t>
  </x:si>
  <x:si>
    <x:t xml:space="preserve">P024</x:t>
  </x:si>
  <x:si>
    <x:t xml:space="preserve">P025</x:t>
  </x:si>
  <x:si>
    <x:t xml:space="preserve">P026</x:t>
  </x:si>
  <x:si>
    <x:t xml:space="preserve">P027</x:t>
  </x:si>
  <x:si>
    <x:t xml:space="preserve">P028</x:t>
  </x:si>
  <x:si>
    <x:t xml:space="preserve">P029</x:t>
  </x:si>
  <x:si>
    <x:t xml:space="preserve">P030</x:t>
  </x:si>
  <x:si>
    <x:t xml:space="preserve">P031</x:t>
  </x:si>
  <x:si>
    <x:t xml:space="preserve">P032</x:t>
  </x:si>
  <x:si>
    <x:t xml:space="preserve">P033</x:t>
  </x:si>
  <x:si>
    <x:t xml:space="preserve">P034</x:t>
  </x:si>
  <x:si>
    <x:t xml:space="preserve">P035</x:t>
  </x:si>
  <x:si>
    <x:t xml:space="preserve">P036</x:t>
  </x:si>
  <x:si>
    <x:t xml:space="preserve">P037</x:t>
  </x:si>
  <x:si>
    <x:t xml:space="preserve">P038</x:t>
  </x:si>
  <x:si>
    <x:t xml:space="preserve">P039</x:t>
  </x:si>
  <x:si>
    <x:t xml:space="preserve">P040</x:t>
  </x:si>
  <x:si>
    <x:t xml:space="preserve">P041</x:t>
  </x:si>
  <x:si>
    <x:t xml:space="preserve">P042</x:t>
  </x:si>
  <x:si>
    <x:t xml:space="preserve">P043</x:t>
  </x:si>
  <x:si>
    <x:t xml:space="preserve">P044</x:t>
  </x:si>
  <x:si>
    <x:t xml:space="preserve">P045</x:t>
  </x:si>
  <x:si>
    <x:t xml:space="preserve">P046</x:t>
  </x:si>
  <x:si>
    <x:t xml:space="preserve">P047</x:t>
  </x:si>
  <x:si>
    <x:t xml:space="preserve">P048</x:t>
  </x:si>
  <x:si>
    <x:t xml:space="preserve">P049</x:t>
  </x:si>
  <x:si>
    <x:t xml:space="preserve">P050</x:t>
  </x:si>
  <x:si>
    <x:t xml:space="preserve">P051</x:t>
  </x:si>
  <x:si>
    <x:t xml:space="preserve">P052</x:t>
  </x:si>
  <x:si>
    <x:t xml:space="preserve">P053</x:t>
  </x:si>
  <x:si>
    <x:t xml:space="preserve">P054</x:t>
  </x:si>
  <x:si>
    <x:t xml:space="preserve">P055</x:t>
  </x:si>
  <x:si>
    <x:t xml:space="preserve">P056</x:t>
  </x:si>
  <x:si>
    <x:t xml:space="preserve">P057</x:t>
  </x:si>
  <x:si>
    <x:t xml:space="preserve">P058</x:t>
  </x:si>
  <x:si>
    <x:t xml:space="preserve">P059</x:t>
  </x:si>
  <x:si>
    <x:t xml:space="preserve">P060</x:t>
  </x:si>
  <x:si>
    <x:t xml:space="preserve">P061</x:t>
  </x:si>
  <x:si>
    <x:t xml:space="preserve">P062</x:t>
  </x:si>
  <x:si>
    <x:t xml:space="preserve">P063</x:t>
  </x:si>
  <x:si>
    <x:t xml:space="preserve">P064</x:t>
  </x:si>
  <x:si>
    <x:t xml:space="preserve">P065</x:t>
  </x:si>
  <x:si>
    <x:t xml:space="preserve">P066</x:t>
  </x:si>
  <x:si>
    <x:t xml:space="preserve">P067</x:t>
  </x:si>
  <x:si>
    <x:t xml:space="preserve">P068</x:t>
  </x:si>
  <x:si>
    <x:t xml:space="preserve">P069</x:t>
  </x:si>
  <x:si>
    <x:t xml:space="preserve">P070</x:t>
  </x:si>
  <x:si>
    <x:t xml:space="preserve">P071</x:t>
  </x:si>
  <x:si>
    <x:t xml:space="preserve">P072</x:t>
  </x:si>
  <x:si>
    <x:t xml:space="preserve">P073</x:t>
  </x:si>
  <x:si>
    <x:t xml:space="preserve">P074</x:t>
  </x:si>
  <x:si>
    <x:t xml:space="preserve">P075</x:t>
  </x:si>
  <x:si>
    <x:t xml:space="preserve">P076</x:t>
  </x:si>
  <x:si>
    <x:t xml:space="preserve">P077</x:t>
  </x:si>
  <x:si>
    <x:t xml:space="preserve">P078</x:t>
  </x:si>
  <x:si>
    <x:t xml:space="preserve">P079</x:t>
  </x:si>
  <x:si>
    <x:t xml:space="preserve">P080</x:t>
  </x:si>
  <x:si>
    <x:t xml:space="preserve">P081</x:t>
  </x:si>
  <x:si>
    <x:t xml:space="preserve">P082</x:t>
  </x:si>
  <x:si>
    <x:t xml:space="preserve">P083</x:t>
  </x:si>
  <x:si>
    <x:t xml:space="preserve">P084</x:t>
  </x:si>
  <x:si>
    <x:t xml:space="preserve">P085</x:t>
  </x:si>
  <x:si>
    <x:t xml:space="preserve">P086</x:t>
  </x:si>
  <x:si>
    <x:t xml:space="preserve">P087</x:t>
  </x:si>
  <x:si>
    <x:t xml:space="preserve">P088</x:t>
  </x:si>
  <x:si>
    <x:t xml:space="preserve">P089</x:t>
  </x:si>
  <x:si>
    <x:t xml:space="preserve">P090</x:t>
  </x:si>
  <x:si>
    <x:t xml:space="preserve">P091</x:t>
  </x:si>
  <x:si>
    <x:t xml:space="preserve">P092</x:t>
  </x:si>
  <x:si>
    <x:t xml:space="preserve">P093</x:t>
  </x:si>
  <x:si>
    <x:t xml:space="preserve">P094</x:t>
  </x:si>
  <x:si>
    <x:t xml:space="preserve">P095</x:t>
  </x:si>
  <x:si>
    <x:t xml:space="preserve">P096</x:t>
  </x:si>
  <x:si>
    <x:t xml:space="preserve">P097</x:t>
  </x:si>
  <x:si>
    <x:t xml:space="preserve">P098</x:t>
  </x:si>
  <x:si>
    <x:t xml:space="preserve">P099</x:t>
  </x:si>
  <x:si>
    <x:t xml:space="preserve">P100</x:t>
  </x:si>
  <x:si>
    <x:t xml:space="preserve">P101</x:t>
  </x:si>
  <x:si>
    <x:t xml:space="preserve">P102</x:t>
  </x:si>
  <x:si>
    <x:t xml:space="preserve">P103</x:t>
  </x:si>
  <x:si>
    <x:t xml:space="preserve">P104</x:t>
  </x:si>
  <x:si>
    <x:t xml:space="preserve">P113</x:t>
  </x:si>
  <x:si>
    <x:t xml:space="preserve">P114</x:t>
  </x:si>
  <x:si>
    <x:t xml:space="preserve">P115</x:t>
  </x:si>
  <x:si>
    <x:t xml:space="preserve">P116</x:t>
  </x:si>
  <x:si>
    <x:t xml:space="preserve">P117</x:t>
  </x:si>
  <x:si>
    <x:t xml:space="preserve">P118</x:t>
  </x:si>
  <x:si>
    <x:t xml:space="preserve">P119</x:t>
  </x:si>
  <x:si>
    <x:t xml:space="preserve">P120</x:t>
  </x:si>
  <x:si>
    <x:t xml:space="preserve">P121</x:t>
  </x:si>
  <x:si>
    <x:t xml:space="preserve">P122</x:t>
  </x:si>
  <x:si>
    <x:t xml:space="preserve">P123</x:t>
  </x:si>
  <x:si>
    <x:t xml:space="preserve">P124</x:t>
  </x:si>
  <x:si>
    <x:t xml:space="preserve">P125</x:t>
  </x:si>
  <x:si>
    <x:t xml:space="preserve">P126</x:t>
  </x:si>
  <x:si>
    <x:t xml:space="preserve">P127</x:t>
  </x:si>
  <x:si>
    <x:t xml:space="preserve">P128</x:t>
  </x:si>
  <x:si>
    <x:t xml:space="preserve">P129</x:t>
  </x:si>
  <x:si>
    <x:t xml:space="preserve">P130</x:t>
  </x:si>
  <x:si>
    <x:t xml:space="preserve">P131</x:t>
  </x:si>
  <x:si>
    <x:t xml:space="preserve">P132</x:t>
  </x:si>
  <x:si>
    <x:t xml:space="preserve">P133</x:t>
  </x:si>
  <x:si>
    <x:t xml:space="preserve">P134</x:t>
  </x:si>
  <x:si>
    <x:t xml:space="preserve">P135</x:t>
  </x:si>
  <x:si>
    <x:t xml:space="preserve">P136</x:t>
  </x:si>
  <x:si>
    <x:t xml:space="preserve">P137</x:t>
  </x:si>
  <x:si>
    <x:t xml:space="preserve">P138</x:t>
  </x:si>
  <x:si>
    <x:t xml:space="preserve">P139</x:t>
  </x:si>
  <x:si>
    <x:t xml:space="preserve">P140</x:t>
  </x:si>
  <x:si>
    <x:t xml:space="preserve">P141</x:t>
  </x:si>
  <x:si>
    <x:t xml:space="preserve">P142</x:t>
  </x:si>
  <x:si>
    <x:t xml:space="preserve">P143</x:t>
  </x:si>
  <x:si>
    <x:t xml:space="preserve">P144</x:t>
  </x:si>
  <x:si>
    <x:t xml:space="preserve">P145</x:t>
  </x:si>
  <x:si>
    <x:t xml:space="preserve">P146</x:t>
  </x:si>
  <x:si>
    <x:t xml:space="preserve">P147</x:t>
  </x:si>
  <x:si>
    <x:t xml:space="preserve">P148</x:t>
  </x:si>
  <x:si>
    <x:t xml:space="preserve">P149</x:t>
  </x:si>
  <x:si>
    <x:t xml:space="preserve">P150</x:t>
  </x:si>
  <x:si>
    <x:t xml:space="preserve">P151</x:t>
  </x:si>
  <x:si>
    <x:t xml:space="preserve">P152</x:t>
  </x:si>
  <x:si>
    <x:t xml:space="preserve">P153</x:t>
  </x:si>
  <x:si>
    <x:t xml:space="preserve">P154</x:t>
  </x:si>
  <x:si>
    <x:t xml:space="preserve">P155</x:t>
  </x:si>
  <x:si>
    <x:t xml:space="preserve">P156</x:t>
  </x:si>
  <x:si>
    <x:t xml:space="preserve">P157</x:t>
  </x:si>
  <x:si>
    <x:t xml:space="preserve">P158</x:t>
  </x:si>
  <x:si>
    <x:t xml:space="preserve">P159</x:t>
  </x:si>
  <x:si>
    <x:t xml:space="preserve">P160</x:t>
  </x:si>
  <x:si>
    <x:t xml:space="preserve">20 张公共事件牌</x:t>
  </x:si>
  <x:si>
    <x:t xml:space="preserve">12 张一次性事件 + 4 张持续事件 + 4 张修正事件｜严重冲击可移动 2—3 格；持续事件按月触发。</x:t>
  </x:si>
  <x:si>
    <x:t xml:space="preserve">编号</x:t>
  </x:si>
  <x:si>
    <x:t xml:space="preserve">事件名称</x:t>
  </x:si>
  <x:si>
    <x:t xml:space="preserve">大类</x:t>
  </x:si>
  <x:si>
    <x:t xml:space="preserve">原油总影响</x:t>
  </x:si>
  <x:si>
    <x:t xml:space="preserve">黄金总影响</x:t>
  </x:si>
  <x:si>
    <x:t xml:space="preserve">棉花总影响</x:t>
  </x:si>
  <x:si>
    <x:t xml:space="preserve">铜总影响</x:t>
  </x:si>
  <x:si>
    <x:t xml:space="preserve">PE-01</x:t>
  </x:si>
  <x:si>
    <x:t xml:space="preserve">全球通胀共振</x:t>
  </x:si>
  <x:si>
    <x:t xml:space="preserve">一次性事件</x:t>
  </x:si>
  <x:si>
    <x:t xml:space="preserve">全商品一次性上涨</x:t>
  </x:si>
  <x:si>
    <x:t xml:space="preserve">四种商品</x:t>
  </x:si>
  <x:si>
    <x:t xml:space="preserve">原油、黄金、棉花、铜现货各上涨 1 格，然后弃置。</x:t>
  </x:si>
  <x:si>
    <x:t xml:space="preserve">本月翻开时立即结算；不跨月</x:t>
  </x:si>
  <x:si>
    <x:t xml:space="preserve">单次；强烈</x:t>
  </x:si>
  <x:si>
    <x:t xml:space="preserve">PE-02</x:t>
  </x:si>
  <x:si>
    <x:t xml:space="preserve">全球流动性冻结</x:t>
  </x:si>
  <x:si>
    <x:t xml:space="preserve">全商品一次性下跌</x:t>
  </x:si>
  <x:si>
    <x:t xml:space="preserve">原油、黄金、棉花、铜现货各下跌 1 格，然后弃置。</x:t>
  </x:si>
  <x:si>
    <x:t xml:space="preserve">PE-03</x:t>
  </x:si>
  <x:si>
    <x:t xml:space="preserve">海峡封锁升级</x:t>
  </x:si>
  <x:si>
    <x:t xml:space="preserve">单商品一次性上涨</x:t>
  </x:si>
  <x:si>
    <x:t xml:space="preserve">原油现货上涨 3 格，然后弃置。</x:t>
  </x:si>
  <x:si>
    <x:t xml:space="preserve">单次；危机</x:t>
  </x:si>
  <x:si>
    <x:t xml:space="preserve">PE-04</x:t>
  </x:si>
  <x:si>
    <x:t xml:space="preserve">国际能源署紧急释放储备</x:t>
  </x:si>
  <x:si>
    <x:t xml:space="preserve">单商品一次性下跌</x:t>
  </x:si>
  <x:si>
    <x:t xml:space="preserve">原油现货下跌 3 格，然后弃置。</x:t>
  </x:si>
  <x:si>
    <x:t xml:space="preserve">PE-05</x:t>
  </x:si>
  <x:si>
    <x:t xml:space="preserve">全球央行联合购金</x:t>
  </x:si>
  <x:si>
    <x:t xml:space="preserve">黄金现货上涨 3 格，然后弃置。</x:t>
  </x:si>
  <x:si>
    <x:t xml:space="preserve">PE-06</x:t>
  </x:si>
  <x:si>
    <x:t xml:space="preserve">美联储极端鹰派冲击</x:t>
  </x:si>
  <x:si>
    <x:t xml:space="preserve">黄金现货下跌 3 格，然后弃置。</x:t>
  </x:si>
  <x:si>
    <x:t xml:space="preserve">PE-07</x:t>
  </x:si>
  <x:si>
    <x:t xml:space="preserve">主产区百年干旱</x:t>
  </x:si>
  <x:si>
    <x:t xml:space="preserve">棉花现货上涨 2 格，然后弃置。</x:t>
  </x:si>
  <x:si>
    <x:t xml:space="preserve">PE-08</x:t>
  </x:si>
  <x:si>
    <x:t xml:space="preserve">全球棉花超级丰收</x:t>
  </x:si>
  <x:si>
    <x:t xml:space="preserve">棉花现货下跌 2 格，然后弃置。</x:t>
  </x:si>
  <x:si>
    <x:t xml:space="preserve">PE-09</x:t>
  </x:si>
  <x:si>
    <x:t xml:space="preserve">全球电网投资浪潮</x:t>
  </x:si>
  <x:si>
    <x:t xml:space="preserve">铜现货上涨 2 格，然后弃置。</x:t>
  </x:si>
  <x:si>
    <x:t xml:space="preserve">PE-10</x:t>
  </x:si>
  <x:si>
    <x:t xml:space="preserve">全球地产去杠杆冲击</x:t>
  </x:si>
  <x:si>
    <x:t xml:space="preserve">铜现货下跌 2 格，然后弃置。</x:t>
  </x:si>
  <x:si>
    <x:t xml:space="preserve">PE-11</x:t>
  </x:si>
  <x:si>
    <x:t xml:space="preserve">全球供应链中断</x:t>
  </x:si>
  <x:si>
    <x:t xml:space="preserve">多商品一次性上涨</x:t>
  </x:si>
  <x:si>
    <x:t xml:space="preserve">棉花、铜</x:t>
  </x:si>
  <x:si>
    <x:t xml:space="preserve">棉花与铜现货各上涨 1 格，然后弃置。</x:t>
  </x:si>
  <x:si>
    <x:t xml:space="preserve">PE-12</x:t>
  </x:si>
  <x:si>
    <x:t xml:space="preserve">全球供应链全面修复</x:t>
  </x:si>
  <x:si>
    <x:t xml:space="preserve">多商品一次性下跌</x:t>
  </x:si>
  <x:si>
    <x:t xml:space="preserve">棉花与铜现货各下跌 1 格，然后弃置。</x:t>
  </x:si>
  <x:si>
    <x:t xml:space="preserve">PE-13</x:t>
  </x:si>
  <x:si>
    <x:t xml:space="preserve">全球流动性宽松周期</x:t>
  </x:si>
  <x:si>
    <x:t xml:space="preserve">持续事件</x:t>
  </x:si>
  <x:si>
    <x:t xml:space="preserve">黄金、铜</x:t>
  </x:si>
  <x:si>
    <x:t xml:space="preserve">持续 3 个月：本月及之后两个月结算时，黄金与铜现货各上涨 1 格。</x:t>
  </x:si>
  <x:si>
    <x:t xml:space="preserve">本月、下两个月；每月结算触发 1 次</x:t>
  </x:si>
  <x:si>
    <x:t xml:space="preserve">持续 3 个月；持续上涨</x:t>
  </x:si>
  <x:si>
    <x:t xml:space="preserve">PE-14</x:t>
  </x:si>
  <x:si>
    <x:t xml:space="preserve">全球流动性紧缩周期</x:t>
  </x:si>
  <x:si>
    <x:t xml:space="preserve">持续 3 个月：本月及之后两个月结算时，黄金与铜现货各下跌 1 格。</x:t>
  </x:si>
  <x:si>
    <x:t xml:space="preserve">持续 3 个月；持续下跌</x:t>
  </x:si>
  <x:si>
    <x:t xml:space="preserve">PE-15</x:t>
  </x:si>
  <x:si>
    <x:t xml:space="preserve">全球补库存周期</x:t>
  </x:si>
  <x:si>
    <x:t xml:space="preserve">原油、棉花</x:t>
  </x:si>
  <x:si>
    <x:t xml:space="preserve">持续 3 个月：本月及之后两个月结算时，原油与棉花现货各上涨 1 格。</x:t>
  </x:si>
  <x:si>
    <x:t xml:space="preserve">PE-16</x:t>
  </x:si>
  <x:si>
    <x:t xml:space="preserve">全球去库存周期</x:t>
  </x:si>
  <x:si>
    <x:t xml:space="preserve">持续 3 个月：本月及之后两个月结算时，原油与棉花现货各下跌 1 格。</x:t>
  </x:si>
  <x:si>
    <x:t xml:space="preserve">PE-17</x:t>
  </x:si>
  <x:si>
    <x:t xml:space="preserve">全球供给政策转向</x:t>
  </x:si>
  <x:si>
    <x:t xml:space="preserve">修正事件</x:t>
  </x:si>
  <x:si>
    <x:t xml:space="preserve">移除持续上涨</x:t>
  </x:si>
  <x:si>
    <x:t xml:space="preserve">持续上涨公共事件</x:t>
  </x:si>
  <x:si>
    <x:t xml:space="preserve">移除场上剩余月份最多的一张“持续上涨”公共事件；并列时移除最早翻开的。无合法目标时无效果。</x:t>
  </x:si>
  <x:si>
    <x:t xml:space="preserve">本月翻开时立即结算</x:t>
  </x:si>
  <x:si>
    <x:t xml:space="preserve">移除；修正</x:t>
  </x:si>
  <x:si>
    <x:t xml:space="preserve">PE-18</x:t>
  </x:si>
  <x:si>
    <x:t xml:space="preserve">逆周期需求托底</x:t>
  </x:si>
  <x:si>
    <x:t xml:space="preserve">移除持续下跌</x:t>
  </x:si>
  <x:si>
    <x:t xml:space="preserve">持续下跌公共事件</x:t>
  </x:si>
  <x:si>
    <x:t xml:space="preserve">移除场上剩余月份最多的一张“持续下跌”公共事件；并列时移除最早翻开的。无合法目标时无效果。</x:t>
  </x:si>
  <x:si>
    <x:t xml:space="preserve">PE-19</x:t>
  </x:si>
  <x:si>
    <x:t xml:space="preserve">宏观数据全面修订</x:t>
  </x:si>
  <x:si>
    <x:t xml:space="preserve">移除单张持续事件</x:t>
  </x:si>
  <x:si>
    <x:t xml:space="preserve">最后翻开的持续公共事件</x:t>
  </x:si>
  <x:si>
    <x:t xml:space="preserve">移除场上最后翻开的一张持续公共事件。无合法目标时无效果。</x:t>
  </x:si>
  <x:si>
    <x:t xml:space="preserve">PE-20</x:t>
  </x:si>
  <x:si>
    <x:t xml:space="preserve">多国政策协调声明</x:t>
  </x:si>
  <x:si>
    <x:t xml:space="preserve">全部持续公共事件</x:t>
  </x:si>
  <x:si>
    <x:t xml:space="preserve">移除场上全部持续公共事件；不逆转以前月份已经发生的价格移动。</x:t>
  </x:si>
  <x:si>
    <x:t xml:space="preserve">移除；强修正</x:t>
  </x:si>
  <x:si>
    <x:t xml:space="preserve">数量、强度与方向平衡校验</x:t>
  </x:si>
  <x:si>
    <x:t xml:space="preserve">所有关键指标使用工作表公式计算；等效格数 = 每月影响 × 作用月数 × 印刷张数。</x:t>
  </x:si>
  <x:si>
    <x:t xml:space="preserve">数量检查</x:t>
  </x:si>
  <x:si>
    <x:t xml:space="preserve">实际值</x:t>
  </x:si>
  <x:si>
    <x:t xml:space="preserve">目标值</x:t>
  </x:si>
  <x:si>
    <x:t xml:space="preserve">状态</x:t>
  </x:si>
  <x:si>
    <x:t xml:space="preserve">个人牌印刷清单行数</x:t>
  </x:si>
  <x:si>
    <x:t xml:space="preserve">每回合对应月份</x:t>
  </x:si>
  <x:si>
    <x:t xml:space="preserve">完整游戏月份</x:t>
  </x:si>
  <x:si>
    <x:t xml:space="preserve">单商品个人牌</x:t>
  </x:si>
  <x:si>
    <x:t xml:space="preserve">上涨张数</x:t>
  </x:si>
  <x:si>
    <x:t xml:space="preserve">下跌张数</x:t>
  </x:si>
  <x:si>
    <x:t xml:space="preserve">上涨等效格数</x:t>
  </x:si>
  <x:si>
    <x:t xml:space="preserve">下跌等效格数</x:t>
  </x:si>
  <x:si>
    <x:t xml:space="preserve">按完整持续期计算</x:t>
  </x:si>
  <x:si>
    <x:t xml:space="preserve">个人趋势上涨</x:t>
  </x:si>
  <x:si>
    <x:t xml:space="preserve">个人趋势下跌</x:t>
  </x:si>
  <x:si>
    <x:t xml:space="preserve">公共趋势上涨</x:t>
  </x:si>
  <x:si>
    <x:t xml:space="preserve">公共趋势下跌</x:t>
  </x:si>
  <x:si>
    <x:t xml:space="preserve">公共一次性事件</x:t>
  </x:si>
  <x:si>
    <x:t xml:space="preserve">累计上涨格数</x:t>
  </x:si>
  <x:si>
    <x:t xml:space="preserve">累计下跌格数</x:t>
  </x:si>
  <x:si>
    <x:t xml:space="preserve">净偏置</x:t>
  </x:si>
</x:sst>
</file>

<file path=xl/styles.xml><?xml version="1.0" encoding="utf-8"?>
<x:styleSheet xmlns:x="http://schemas.openxmlformats.org/spreadsheetml/2006/main">
  <x:numFmts count="6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"/>
    <x:numFmt numFmtId="201" formatCode="0.0%"/>
  </x:numFmts>
  <x:fonts count="34">
    <x:font>
      <x:sz val="11"/>
      <x:name val="Carlito"/>
    </x:font>
    <x:font>
      <x:b/>
      <x:sz val="18"/>
      <x:color rgb="FFFFFFFF"/>
      <x:name val="Carlito"/>
    </x:font>
    <x:font>
      <x:sz val="9"/>
      <x:color rgb="FF647D91"/>
      <x:name val="Carlito"/>
    </x:font>
    <x:font>
      <x:b/>
      <x:sz val="9"/>
      <x:color rgb="FFFFFFFF"/>
      <x:name val="Carlito"/>
    </x:font>
    <x:font>
      <x:sz val="9"/>
      <x:color rgb="FF243746"/>
      <x:name val="Carlito"/>
    </x:font>
    <x:font>
      <x:b/>
      <x:sz val="9"/>
      <x:color rgb="FF3E6B2E"/>
      <x:name val="Carlito"/>
    </x:font>
    <x:font>
      <x:sz val="10"/>
      <x:color rgb="FF075968"/>
      <x:name val="Carlito"/>
    </x:font>
    <x:font>
      <x:b/>
      <x:sz val="9"/>
      <x:color rgb="FF243746"/>
      <x:name val="Carlito"/>
    </x:font>
    <x:font>
      <x:b/>
      <x:sz val="10"/>
      <x:color rgb="FF243746"/>
      <x:name val="Carlito"/>
    </x:font>
    <x:font>
      <x:i/>
      <x:sz val="9"/>
      <x:color rgb="FF647D91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0"/>
      <x:color rgb="FF5E7A89"/>
      <x:name val="Carlito"/>
    </x:font>
    <x:font>
      <x:b/>
      <x:sz val="11"/>
      <x:color rgb="FFFFFFFF"/>
      <x:name val="Carlito"/>
    </x:font>
    <x:font>
      <x:b/>
      <x:sz val="11"/>
      <x:color rgb="FF086875"/>
      <x:name val="Carlito"/>
    </x:font>
    <x:font>
      <x:i/>
      <x:sz val="11"/>
      <x:color rgb="FF244A5A"/>
      <x:name val="Carlito"/>
    </x:font>
  </x:fonts>
  <x:fills count="48">
    <x:fill>
      <x:patternFill patternType="none"/>
    </x:fill>
    <x:fill>
      <x:patternFill patternType="gray125"/>
    </x:fill>
    <x:fill>
      <x:patternFill patternType="solid">
        <x:fgColor rgb="FF112D46"/>
      </x:patternFill>
    </x:fill>
    <x:fill>
      <x:patternFill patternType="solid">
        <x:fgColor rgb="FFEAF3F6"/>
      </x:patternFill>
    </x:fill>
    <x:fill>
      <x:patternFill patternType="solid">
        <x:fgColor rgb="FF07596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E4"/>
      </x:patternFill>
    </x:fill>
    <x:fill>
      <x:patternFill patternType="solid">
        <x:fgColor rgb="FFE2F1E8"/>
      </x:patternFill>
    </x:fill>
    <x:fill>
      <x:patternFill patternType="solid">
        <x:fgColor rgb="FFEDE5F6"/>
      </x:patternFill>
    </x:fill>
    <x:fill>
      <x:patternFill patternType="solid">
        <x:fgColor rgb="FFD8C8EB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2304A"/>
      </x:patternFill>
    </x:fill>
    <x:fill>
      <x:patternFill patternType="solid">
        <x:fgColor rgb="FFE8F2F6"/>
      </x:patternFill>
    </x:fill>
    <x:fill>
      <x:patternFill patternType="solid">
        <x:fgColor rgb="FF086875"/>
      </x:patternFill>
    </x:fill>
    <x:fill>
      <x:patternFill patternType="solid">
        <x:fgColor rgb="FFEAF6FA"/>
      </x:patternFill>
    </x:fill>
    <x:fill>
      <x:patternFill patternType="solid">
        <x:fgColor rgb="FFF4F7F9"/>
      </x:patternFill>
    </x:fill>
    <x:fill>
      <x:patternFill patternType="solid">
        <x:fgColor rgb="FFFFF3D2"/>
      </x:patternFill>
    </x:fill>
  </x:fills>
  <x:borders count="43">
    <x:border/>
    <x:border>
      <x:bottom style="thin">
        <x:color rgb="FFC9D9E2"/>
      </x:bottom>
    </x:border>
    <x:border>
      <x:left style="thin">
        <x:color rgb="FF075968"/>
      </x:left>
      <x:right style="thin">
        <x:color rgb="FF075968"/>
      </x:right>
      <x:top style="thin">
        <x:color rgb="FF075968"/>
      </x:top>
      <x:bottom style="thin">
        <x:color rgb="FF075968"/>
      </x:bottom>
    </x:border>
    <x:border>
      <x:left style="thin">
        <x:color rgb="FFC9D9E2"/>
      </x:left>
      <x:right style="thin">
        <x:color rgb="FFC9D9E2"/>
      </x:right>
      <x:top style="thin">
        <x:color rgb="FFC9D9E2"/>
      </x:top>
      <x:bottom style="thin">
        <x:color rgb="FFC9D9E2"/>
      </x:bottom>
    </x:border>
    <x:border>
      <x:left style="thin">
        <x:color rgb="FFC9D9E2"/>
      </x:left>
      <x:top style="thin">
        <x:color rgb="FFC9D9E2"/>
      </x:top>
    </x:border>
    <x:border>
      <x:top style="thin">
        <x:color rgb="FFC9D9E2"/>
      </x:top>
    </x:border>
    <x:border>
      <x:right style="thin">
        <x:color rgb="FFC9D9E2"/>
      </x:right>
      <x:top style="thin">
        <x:color rgb="FFC9D9E2"/>
      </x:top>
    </x:border>
    <x:border>
      <x:left style="thin">
        <x:color rgb="FFC9D9E2"/>
      </x:left>
    </x:border>
    <x:border>
      <x:right style="thin">
        <x:color rgb="FFC9D9E2"/>
      </x:right>
    </x:border>
    <x:border>
      <x:left style="thin">
        <x:color rgb="FFC9D9E2"/>
      </x:left>
      <x:bottom style="thin">
        <x:color rgb="FFC9D9E2"/>
      </x:bottom>
    </x:border>
    <x:border>
      <x:right style="thin">
        <x:color rgb="FFC9D9E2"/>
      </x:right>
      <x:bottom style="thin">
        <x:color rgb="FFC9D9E2"/>
      </x:bottom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9CB8C4"/>
      </x:left>
      <x:top style="thin">
        <x:color rgb="FF9CB8C4"/>
      </x:top>
      <x:bottom style="thin">
        <x:color rgb="FF9CB8C4"/>
      </x:bottom>
    </x:border>
    <x:border>
      <x:top style="thin">
        <x:color rgb="FF9CB8C4"/>
      </x:top>
      <x:bottom style="thin">
        <x:color rgb="FF9CB8C4"/>
      </x:bottom>
    </x:border>
    <x:border>
      <x:right style="thin">
        <x:color rgb="FF9CB8C4"/>
      </x:right>
      <x:top style="thin">
        <x:color rgb="FF9CB8C4"/>
      </x:top>
      <x:bottom style="thin">
        <x:color rgb="FF9CB8C4"/>
      </x:bottom>
    </x:border>
    <x:border>
      <x:left style="thin">
        <x:color rgb="FF9CB8C4"/>
      </x:left>
      <x:top style="thin">
        <x:color rgb="FF9CB8C4"/>
      </x:top>
      <x:bottom style="thin">
        <x:color rgb="FFD7E3E8"/>
      </x:bottom>
    </x:border>
    <x:border>
      <x:top style="thin">
        <x:color rgb="FF9CB8C4"/>
      </x:top>
      <x:bottom style="thin">
        <x:color rgb="FFD7E3E8"/>
      </x:bottom>
    </x:border>
    <x:border>
      <x:right style="thin">
        <x:color rgb="FF9CB8C4"/>
      </x:right>
      <x:top style="thin">
        <x:color rgb="FF9CB8C4"/>
      </x:top>
      <x:bottom style="thin">
        <x:color rgb="FFD7E3E8"/>
      </x:bottom>
    </x:border>
    <x:border>
      <x:left style="thin">
        <x:color rgb="FF9CB8C4"/>
      </x:left>
      <x:top style="thin">
        <x:color rgb="FFD7E3E8"/>
      </x:top>
      <x:bottom style="thin">
        <x:color rgb="FFD7E3E8"/>
      </x:bottom>
    </x:border>
    <x:border>
      <x:top style="thin">
        <x:color rgb="FFD7E3E8"/>
      </x:top>
      <x:bottom style="thin">
        <x:color rgb="FFD7E3E8"/>
      </x:bottom>
    </x:border>
    <x:border>
      <x:right style="thin">
        <x:color rgb="FF9CB8C4"/>
      </x:right>
      <x:top style="thin">
        <x:color rgb="FFD7E3E8"/>
      </x:top>
      <x:bottom style="thin">
        <x:color rgb="FFD7E3E8"/>
      </x:bottom>
    </x:border>
    <x:border>
      <x:left style="thin">
        <x:color rgb="FF9CB8C4"/>
      </x:left>
      <x:top style="thin">
        <x:color rgb="FFD7E3E8"/>
      </x:top>
      <x:bottom style="thin">
        <x:color rgb="FF9CB8C4"/>
      </x:bottom>
    </x:border>
    <x:border>
      <x:top style="thin">
        <x:color rgb="FFD7E3E8"/>
      </x:top>
      <x:bottom style="thin">
        <x:color rgb="FF9CB8C4"/>
      </x:bottom>
    </x:border>
    <x:border>
      <x:right style="thin">
        <x:color rgb="FF9CB8C4"/>
      </x:right>
      <x:top style="thin">
        <x:color rgb="FFD7E3E8"/>
      </x:top>
      <x:bottom style="thin">
        <x:color rgb="FF9CB8C4"/>
      </x:bottom>
    </x:border>
    <x:border>
      <x:left style="thin">
        <x:color rgb="FF9CB8C4"/>
      </x:left>
      <x:top style="thin">
        <x:color rgb="FF9CB8C4"/>
      </x:top>
    </x:border>
    <x:border>
      <x:top style="thin">
        <x:color rgb="FF9CB8C4"/>
      </x:top>
    </x:border>
    <x:border>
      <x:right style="thin">
        <x:color rgb="FF9CB8C4"/>
      </x:right>
      <x:top style="thin">
        <x:color rgb="FF9CB8C4"/>
      </x:top>
    </x:border>
    <x:border>
      <x:left style="thin">
        <x:color rgb="FF9CB8C4"/>
      </x:left>
      <x:bottom style="thin">
        <x:color rgb="FF9CB8C4"/>
      </x:bottom>
    </x:border>
    <x:border>
      <x:bottom style="thin">
        <x:color rgb="FF9CB8C4"/>
      </x:bottom>
    </x:border>
    <x:border>
      <x:right style="thin">
        <x:color rgb="FF9CB8C4"/>
      </x:right>
      <x:bottom style="thin">
        <x:color rgb="FF9CB8C4"/>
      </x:bottom>
    </x:border>
  </x:borders>
  <x:cellStyleXfs count="50">
    <x:xf numFmtId="0" fontId="10" fillId="0" borderId="0">
      <x:alignment vertical="center"/>
    </x:xf>
    <x:xf numFmtId="43" fontId="10" fillId="0" borderId="0" applyFont="0" applyFill="0" applyBorder="0" applyAlignment="0" applyProtection="0">
      <x:alignment vertical="center"/>
    </x:xf>
    <x:xf numFmtId="44" fontId="10" fillId="0" borderId="0" applyFont="0" applyFill="0" applyBorder="0" applyAlignment="0" applyProtection="0">
      <x:alignment vertical="center"/>
    </x:xf>
    <x:xf numFmtId="9" fontId="10" fillId="0" borderId="0" applyFont="0" applyFill="0" applyBorder="0" applyAlignment="0" applyProtection="0">
      <x:alignment vertical="center"/>
    </x:xf>
    <x:xf numFmtId="41" fontId="10" fillId="0" borderId="0" applyFont="0" applyFill="0" applyBorder="0" applyAlignment="0" applyProtection="0">
      <x:alignment vertical="center"/>
    </x:xf>
    <x:xf numFmtId="42" fontId="10" fillId="0" borderId="0" applyFon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0" fillId="11" borderId="17" applyNumberFormat="0" applyFont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18" applyNumberFormat="0" applyFill="0" applyAlignment="0" applyProtection="0">
      <x:alignment vertical="center"/>
    </x:xf>
    <x:xf numFmtId="0" fontId="17" fillId="0" borderId="18" applyNumberFormat="0" applyFill="0" applyAlignment="0" applyProtection="0">
      <x:alignment vertical="center"/>
    </x:xf>
    <x:xf numFmtId="0" fontId="18" fillId="0" borderId="19" applyNumberFormat="0" applyFill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12" borderId="20" applyNumberFormat="0" applyAlignment="0" applyProtection="0">
      <x:alignment vertical="center"/>
    </x:xf>
    <x:xf numFmtId="0" fontId="20" fillId="13" borderId="21" applyNumberFormat="0" applyAlignment="0" applyProtection="0">
      <x:alignment vertical="center"/>
    </x:xf>
    <x:xf numFmtId="0" fontId="21" fillId="13" borderId="20" applyNumberFormat="0" applyAlignment="0" applyProtection="0">
      <x:alignment vertical="center"/>
    </x:xf>
    <x:xf numFmtId="0" fontId="22" fillId="14" borderId="22" applyNumberFormat="0" applyAlignment="0" applyProtection="0">
      <x:alignment vertical="center"/>
    </x:xf>
    <x:xf numFmtId="0" fontId="23" fillId="0" borderId="23" applyNumberFormat="0" applyFill="0" applyAlignment="0" applyProtection="0">
      <x:alignment vertical="center"/>
    </x:xf>
    <x:xf numFmtId="0" fontId="24" fillId="0" borderId="24" applyNumberFormat="0" applyFill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6" fillId="16" borderId="0" applyNumberFormat="0" applyBorder="0" applyAlignment="0" applyProtection="0">
      <x:alignment vertical="center"/>
    </x:xf>
    <x:xf numFmtId="0" fontId="27" fillId="17" borderId="0" applyNumberFormat="0" applyBorder="0" applyAlignment="0" applyProtection="0">
      <x:alignment vertical="center"/>
    </x:xf>
    <x:xf numFmtId="0" fontId="28" fillId="18" borderId="0" applyNumberFormat="0" applyBorder="0" applyAlignment="0" applyProtection="0">
      <x:alignment vertical="center"/>
    </x:xf>
    <x:xf numFmtId="0" fontId="29" fillId="19" borderId="0" applyNumberFormat="0" applyBorder="0" applyAlignment="0" applyProtection="0">
      <x:alignment vertical="center"/>
    </x:xf>
    <x:xf numFmtId="0" fontId="29" fillId="20" borderId="0" applyNumberFormat="0" applyBorder="0" applyAlignment="0" applyProtection="0">
      <x:alignment vertical="center"/>
    </x:xf>
    <x:xf numFmtId="0" fontId="28" fillId="21" borderId="0" applyNumberFormat="0" applyBorder="0" applyAlignment="0" applyProtection="0">
      <x:alignment vertical="center"/>
    </x:xf>
    <x:xf numFmtId="0" fontId="28" fillId="22" borderId="0" applyNumberFormat="0" applyBorder="0" applyAlignment="0" applyProtection="0">
      <x:alignment vertical="center"/>
    </x:xf>
    <x:xf numFmtId="0" fontId="29" fillId="23" borderId="0" applyNumberFormat="0" applyBorder="0" applyAlignment="0" applyProtection="0">
      <x:alignment vertical="center"/>
    </x:xf>
    <x:xf numFmtId="0" fontId="29" fillId="24" borderId="0" applyNumberFormat="0" applyBorder="0" applyAlignment="0" applyProtection="0">
      <x:alignment vertical="center"/>
    </x:xf>
    <x:xf numFmtId="0" fontId="28" fillId="25" borderId="0" applyNumberFormat="0" applyBorder="0" applyAlignment="0" applyProtection="0">
      <x:alignment vertical="center"/>
    </x:xf>
    <x:xf numFmtId="0" fontId="28" fillId="26" borderId="0" applyNumberFormat="0" applyBorder="0" applyAlignment="0" applyProtection="0">
      <x:alignment vertical="center"/>
    </x:xf>
    <x:xf numFmtId="0" fontId="29" fillId="27" borderId="0" applyNumberFormat="0" applyBorder="0" applyAlignment="0" applyProtection="0">
      <x:alignment vertical="center"/>
    </x:xf>
    <x:xf numFmtId="0" fontId="29" fillId="28" borderId="0" applyNumberFormat="0" applyBorder="0" applyAlignment="0" applyProtection="0">
      <x:alignment vertical="center"/>
    </x:xf>
    <x:xf numFmtId="0" fontId="28" fillId="29" borderId="0" applyNumberFormat="0" applyBorder="0" applyAlignment="0" applyProtection="0">
      <x:alignment vertical="center"/>
    </x:xf>
    <x:xf numFmtId="0" fontId="28" fillId="30" borderId="0" applyNumberFormat="0" applyBorder="0" applyAlignment="0" applyProtection="0">
      <x:alignment vertical="center"/>
    </x:xf>
    <x:xf numFmtId="0" fontId="29" fillId="31" borderId="0" applyNumberFormat="0" applyBorder="0" applyAlignment="0" applyProtection="0">
      <x:alignment vertical="center"/>
    </x:xf>
    <x:xf numFmtId="0" fontId="29" fillId="32" borderId="0" applyNumberFormat="0" applyBorder="0" applyAlignment="0" applyProtection="0">
      <x:alignment vertical="center"/>
    </x:xf>
    <x:xf numFmtId="0" fontId="28" fillId="33" borderId="0" applyNumberFormat="0" applyBorder="0" applyAlignment="0" applyProtection="0">
      <x:alignment vertical="center"/>
    </x:xf>
    <x:xf numFmtId="0" fontId="28" fillId="34" borderId="0" applyNumberFormat="0" applyBorder="0" applyAlignment="0" applyProtection="0">
      <x:alignment vertical="center"/>
    </x:xf>
    <x:xf numFmtId="0" fontId="29" fillId="35" borderId="0" applyNumberFormat="0" applyBorder="0" applyAlignment="0" applyProtection="0">
      <x:alignment vertical="center"/>
    </x:xf>
    <x:xf numFmtId="0" fontId="29" fillId="36" borderId="0" applyNumberFormat="0" applyBorder="0" applyAlignment="0" applyProtection="0">
      <x:alignment vertical="center"/>
    </x:xf>
    <x:xf numFmtId="0" fontId="28" fillId="37" borderId="0" applyNumberFormat="0" applyBorder="0" applyAlignment="0" applyProtection="0">
      <x:alignment vertical="center"/>
    </x:xf>
    <x:xf numFmtId="0" fontId="28" fillId="38" borderId="0" applyNumberFormat="0" applyBorder="0" applyAlignment="0" applyProtection="0">
      <x:alignment vertical="center"/>
    </x:xf>
    <x:xf numFmtId="0" fontId="29" fillId="39" borderId="0" applyNumberFormat="0" applyBorder="0" applyAlignment="0" applyProtection="0">
      <x:alignment vertical="center"/>
    </x:xf>
    <x:xf numFmtId="0" fontId="29" fillId="40" borderId="0" applyNumberFormat="0" applyBorder="0" applyAlignment="0" applyProtection="0">
      <x:alignment vertical="center"/>
    </x:xf>
    <x:xf numFmtId="0" fontId="28" fillId="41" borderId="0" applyNumberFormat="0" applyBorder="0" applyAlignment="0" applyProtection="0">
      <x:alignment vertical="center"/>
    </x:xf>
    <x:xf numFmtId="0" fontId="0" fillId="0" borderId="0"/>
  </x:cellStyleXfs>
  <x:cellXfs count="114">
    <x:xf numFmtId="0" fontId="0" fillId="0" borderId="0" xfId="49"/>
    <x:xf numFmtId="0" fontId="1" fillId="2" borderId="0" xfId="49" applyNumberFormat="1" applyFont="1" applyFill="1" applyBorder="1" applyAlignment="1">
      <x:alignment vertical="center"/>
    </x:xf>
    <x:xf numFmtId="0" fontId="2" fillId="3" borderId="1" xfId="49" applyNumberFormat="1" applyFont="1" applyFill="1" applyBorder="1" applyAlignment="1">
      <x:alignment vertical="center" wrapText="1"/>
    </x:xf>
    <x:xf numFmtId="0" fontId="3" fillId="4" borderId="2" xfId="49" applyNumberFormat="1" applyFont="1" applyFill="1" applyBorder="1" applyAlignment="1">
      <x:alignment vertical="center" wrapText="1"/>
    </x:xf>
    <x:xf numFmtId="0" fontId="4" fillId="0" borderId="3" xfId="49" applyNumberFormat="1" applyFont="1" applyFill="1" applyBorder="1" applyAlignment="1">
      <x:alignment vertical="center" wrapText="1"/>
    </x:xf>
    <x:xf numFmtId="0" fontId="5" fillId="5" borderId="3" xfId="49" applyNumberFormat="1" applyFont="1" applyFill="1" applyBorder="1" applyAlignment="1">
      <x:alignment vertical="center" wrapText="1"/>
    </x:xf>
    <x:xf numFmtId="0" fontId="6" fillId="3" borderId="4" xfId="49" applyNumberFormat="1" applyFont="1" applyFill="1" applyBorder="1" applyAlignment="1">
      <x:alignment vertical="center" wrapText="1"/>
    </x:xf>
    <x:xf numFmtId="0" fontId="6" fillId="3" borderId="5" xfId="49" applyNumberFormat="1" applyFont="1" applyFill="1" applyBorder="1" applyAlignment="1">
      <x:alignment vertical="center" wrapText="1"/>
    </x:xf>
    <x:xf numFmtId="0" fontId="6" fillId="3" borderId="6" xfId="49" applyNumberFormat="1" applyFont="1" applyFill="1" applyBorder="1" applyAlignment="1">
      <x:alignment vertical="center" wrapText="1"/>
    </x:xf>
    <x:xf numFmtId="0" fontId="6" fillId="3" borderId="7" xfId="49" applyNumberFormat="1" applyFont="1" applyFill="1" applyBorder="1" applyAlignment="1">
      <x:alignment vertical="center" wrapText="1"/>
    </x:xf>
    <x:xf numFmtId="0" fontId="6" fillId="3" borderId="0" xfId="49" applyNumberFormat="1" applyFont="1" applyFill="1" applyBorder="1" applyAlignment="1">
      <x:alignment vertical="center" wrapText="1"/>
    </x:xf>
    <x:xf numFmtId="0" fontId="6" fillId="3" borderId="8" xfId="49" applyNumberFormat="1" applyFont="1" applyFill="1" applyBorder="1" applyAlignment="1">
      <x:alignment vertical="center" wrapText="1"/>
    </x:xf>
    <x:xf numFmtId="0" fontId="6" fillId="3" borderId="9" xfId="49" applyNumberFormat="1" applyFont="1" applyFill="1" applyBorder="1" applyAlignment="1">
      <x:alignment vertical="center" wrapText="1"/>
    </x:xf>
    <x:xf numFmtId="0" fontId="6" fillId="3" borderId="1" xfId="49" applyNumberFormat="1" applyFont="1" applyFill="1" applyBorder="1" applyAlignment="1">
      <x:alignment vertical="center" wrapText="1"/>
    </x:xf>
    <x:xf numFmtId="0" fontId="6" fillId="3" borderId="10" xfId="49" applyNumberFormat="1" applyFont="1" applyFill="1" applyBorder="1" applyAlignment="1">
      <x:alignment vertical="center" wrapText="1"/>
    </x:xf>
    <x:xf numFmtId="0" fontId="7" fillId="6" borderId="3" xfId="49" applyNumberFormat="1" applyFont="1" applyFill="1" applyBorder="1" applyAlignment="1">
      <x:alignment vertical="center" wrapText="1"/>
    </x:xf>
    <x:xf numFmtId="1" fontId="4" fillId="0" borderId="3" xfId="49" applyNumberFormat="1" applyFont="1" applyFill="1" applyBorder="1" applyAlignment="1">
      <x:alignment vertical="center" wrapText="1"/>
    </x:xf>
    <x:xf numFmtId="0" fontId="7" fillId="7" borderId="3" xfId="49" applyNumberFormat="1" applyFont="1" applyFill="1" applyBorder="1" applyAlignment="1">
      <x:alignment vertical="center" wrapText="1"/>
    </x:xf>
    <x:xf numFmtId="0" fontId="7" fillId="8" borderId="3" xfId="49" applyNumberFormat="1" applyFont="1" applyFill="1" applyBorder="1" applyAlignment="1">
      <x:alignment vertical="center" wrapText="1"/>
    </x:xf>
    <x:xf numFmtId="0" fontId="7" fillId="9" borderId="3" xfId="49" applyNumberFormat="1" applyFont="1" applyFill="1" applyBorder="1" applyAlignment="1">
      <x:alignment vertical="center" wrapText="1"/>
    </x:xf>
    <x:xf numFmtId="0" fontId="7" fillId="10" borderId="3" xfId="49" applyNumberFormat="1" applyFont="1" applyFill="1" applyBorder="1" applyAlignment="1">
      <x:alignment vertical="center" wrapText="1"/>
    </x:xf>
    <x:xf numFmtId="0" fontId="7" fillId="3" borderId="3" xfId="49" applyNumberFormat="1" applyFont="1" applyFill="1" applyBorder="1" applyAlignment="1">
      <x:alignment vertical="center" wrapText="1"/>
    </x:xf>
    <x:xf numFmtId="9" fontId="4" fillId="0" borderId="3" xfId="49" applyNumberFormat="1" applyFont="1" applyFill="1" applyBorder="1" applyAlignment="1">
      <x:alignment vertical="center" wrapText="1"/>
    </x:xf>
    <x:xf numFmtId="0" fontId="8" fillId="6" borderId="11" xfId="49" applyNumberFormat="1" applyFont="1" applyFill="1" applyBorder="1" applyAlignment="1">
      <x:alignment vertical="center" wrapText="1"/>
    </x:xf>
    <x:xf numFmtId="0" fontId="8" fillId="6" borderId="12" xfId="49" applyNumberFormat="1" applyFont="1" applyFill="1" applyBorder="1" applyAlignment="1">
      <x:alignment vertical="center" wrapText="1"/>
    </x:xf>
    <x:xf numFmtId="0" fontId="8" fillId="6" borderId="13" xfId="49" applyNumberFormat="1" applyFont="1" applyFill="1" applyBorder="1" applyAlignment="1">
      <x:alignment vertical="center" wrapText="1"/>
    </x:xf>
    <x:xf numFmtId="0" fontId="8" fillId="6" borderId="14" xfId="49" applyNumberFormat="1" applyFont="1" applyFill="1" applyBorder="1" applyAlignment="1">
      <x:alignment vertical="center" wrapText="1"/>
    </x:xf>
    <x:xf numFmtId="0" fontId="8" fillId="6" borderId="15" xfId="49" applyNumberFormat="1" applyFont="1" applyFill="1" applyBorder="1" applyAlignment="1">
      <x:alignment vertical="center" wrapText="1"/>
    </x:xf>
    <x:xf numFmtId="0" fontId="8" fillId="6" borderId="16" xfId="49" applyNumberFormat="1" applyFont="1" applyFill="1" applyBorder="1" applyAlignment="1">
      <x:alignment vertical="center" wrapText="1"/>
    </x:xf>
    <x:xf numFmtId="0" fontId="9" fillId="0" borderId="0" xfId="49" applyNumberFormat="1" applyFont="1" applyFill="1" applyBorder="1" applyAlignment="1">
      <x:alignment wrapText="1"/>
    </x:xf>
    <x:xf numFmtId="0" fontId="0" fillId="42" borderId="0" xfId="0" applyNumberFormat="1" applyFont="1" applyFill="1" applyBorder="1"/>
    <x:xf numFmtId="0" fontId="1" fillId="42" borderId="0" xfId="0" applyNumberFormat="1" applyFont="1" applyFill="1" applyBorder="1"/>
    <x:xf numFmtId="0" fontId="1" fillId="42" borderId="0" xfId="0" applyNumberFormat="1" applyFont="1" applyFill="1" applyBorder="1" applyAlignment="1">
      <x:alignment vertical="center"/>
    </x:xf>
    <x:xf numFmtId="0" fontId="0" fillId="43" borderId="0" xfId="0" applyNumberFormat="1" applyFont="1" applyFill="1" applyBorder="1"/>
    <x:xf numFmtId="0" fontId="30" fillId="43" borderId="0" xfId="0" applyNumberFormat="1" applyFont="1" applyFill="1" applyBorder="1"/>
    <x:xf numFmtId="0" fontId="30" fillId="43" borderId="0" xfId="0" applyNumberFormat="1" applyFont="1" applyFill="1" applyBorder="1" applyAlignment="1">
      <x:alignment vertical="center"/>
    </x:xf>
    <x:xf numFmtId="0" fontId="0" fillId="44" borderId="0" xfId="0" applyNumberFormat="1" applyFont="1" applyFill="1" applyBorder="1"/>
    <x:xf numFmtId="0" fontId="31" fillId="44" borderId="0" xfId="0" applyNumberFormat="1" applyFont="1" applyFill="1" applyBorder="1"/>
    <x:xf numFmtId="0" fontId="31" fillId="44" borderId="25" xfId="0" applyNumberFormat="1" applyFont="1" applyFill="1" applyBorder="1"/>
    <x:xf numFmtId="0" fontId="31" fillId="44" borderId="26" xfId="0" applyNumberFormat="1" applyFont="1" applyFill="1" applyBorder="1"/>
    <x:xf numFmtId="0" fontId="31" fillId="44" borderId="27" xfId="0" applyNumberFormat="1" applyFont="1" applyFill="1" applyBorder="1"/>
    <x:xf numFmtId="0" fontId="31" fillId="44" borderId="25" xfId="0" applyNumberFormat="1" applyFont="1" applyFill="1" applyBorder="1" applyAlignment="1">
      <x:alignment horizontal="center"/>
    </x:xf>
    <x:xf numFmtId="0" fontId="31" fillId="44" borderId="26" xfId="0" applyNumberFormat="1" applyFont="1" applyFill="1" applyBorder="1" applyAlignment="1">
      <x:alignment horizontal="center"/>
    </x:xf>
    <x:xf numFmtId="0" fontId="31" fillId="44" borderId="27" xfId="0" applyNumberFormat="1" applyFont="1" applyFill="1" applyBorder="1" applyAlignment="1">
      <x:alignment horizontal="center"/>
    </x:xf>
    <x:xf numFmtId="0" fontId="31" fillId="44" borderId="25" xfId="0" applyNumberFormat="1" applyFont="1" applyFill="1" applyBorder="1" applyAlignment="1">
      <x:alignment horizontal="center" vertical="center"/>
    </x:xf>
    <x:xf numFmtId="0" fontId="31" fillId="44" borderId="26" xfId="0" applyNumberFormat="1" applyFont="1" applyFill="1" applyBorder="1" applyAlignment="1">
      <x:alignment horizontal="center" vertical="center"/>
    </x:xf>
    <x:xf numFmtId="0" fontId="31" fillId="44" borderId="27" xfId="0" applyNumberFormat="1" applyFont="1" applyFill="1" applyBorder="1" applyAlignment="1">
      <x:alignment horizontal="center" vertical="center"/>
    </x:xf>
    <x:xf numFmtId="0" fontId="0" fillId="45" borderId="0" xfId="0" applyNumberFormat="1" applyFont="1" applyFill="1" applyBorder="1"/>
    <x:xf numFmtId="0" fontId="0" fillId="46" borderId="0" xfId="0" applyNumberFormat="1" applyFont="1" applyFill="1" applyBorder="1"/>
    <x:xf numFmtId="0" fontId="0" fillId="47" borderId="0" xfId="0" applyNumberFormat="1" applyFont="1" applyFill="1" applyBorder="1"/>
    <x:xf numFmtId="0" fontId="0" fillId="45" borderId="28" xfId="0" applyNumberFormat="1" applyFont="1" applyFill="1" applyBorder="1"/>
    <x:xf numFmtId="0" fontId="0" fillId="45" borderId="29" xfId="0" applyNumberFormat="1" applyFont="1" applyFill="1" applyBorder="1"/>
    <x:xf numFmtId="0" fontId="0" fillId="45" borderId="30" xfId="0" applyNumberFormat="1" applyFont="1" applyFill="1" applyBorder="1"/>
    <x:xf numFmtId="0" fontId="0" fillId="45" borderId="31" xfId="0" applyNumberFormat="1" applyFont="1" applyFill="1" applyBorder="1"/>
    <x:xf numFmtId="0" fontId="0" fillId="45" borderId="32" xfId="0" applyNumberFormat="1" applyFont="1" applyFill="1" applyBorder="1"/>
    <x:xf numFmtId="0" fontId="0" fillId="45" borderId="33" xfId="0" applyNumberFormat="1" applyFont="1" applyFill="1" applyBorder="1"/>
    <x:xf numFmtId="0" fontId="0" fillId="46" borderId="31" xfId="0" applyNumberFormat="1" applyFont="1" applyFill="1" applyBorder="1"/>
    <x:xf numFmtId="0" fontId="0" fillId="46" borderId="32" xfId="0" applyNumberFormat="1" applyFont="1" applyFill="1" applyBorder="1"/>
    <x:xf numFmtId="0" fontId="0" fillId="46" borderId="33" xfId="0" applyNumberFormat="1" applyFont="1" applyFill="1" applyBorder="1"/>
    <x:xf numFmtId="0" fontId="0" fillId="47" borderId="31" xfId="0" applyNumberFormat="1" applyFont="1" applyFill="1" applyBorder="1"/>
    <x:xf numFmtId="0" fontId="0" fillId="47" borderId="32" xfId="0" applyNumberFormat="1" applyFont="1" applyFill="1" applyBorder="1"/>
    <x:xf numFmtId="0" fontId="0" fillId="47" borderId="33" xfId="0" applyNumberFormat="1" applyFont="1" applyFill="1" applyBorder="1"/>
    <x:xf numFmtId="0" fontId="0" fillId="47" borderId="34" xfId="0" applyNumberFormat="1" applyFont="1" applyFill="1" applyBorder="1"/>
    <x:xf numFmtId="0" fontId="0" fillId="47" borderId="35" xfId="0" applyNumberFormat="1" applyFont="1" applyFill="1" applyBorder="1"/>
    <x:xf numFmtId="0" fontId="0" fillId="47" borderId="36" xfId="0" applyNumberFormat="1" applyFont="1" applyFill="1" applyBorder="1"/>
    <x:xf numFmtId="0" fontId="0" fillId="45" borderId="28" xfId="0" applyNumberFormat="1" applyFont="1" applyFill="1" applyBorder="1" applyAlignment="1">
      <x:alignment horizontal="center"/>
    </x:xf>
    <x:xf numFmtId="0" fontId="0" fillId="45" borderId="29" xfId="0" applyNumberFormat="1" applyFont="1" applyFill="1" applyBorder="1" applyAlignment="1">
      <x:alignment horizontal="center"/>
    </x:xf>
    <x:xf numFmtId="0" fontId="0" fillId="45" borderId="31" xfId="0" applyNumberFormat="1" applyFont="1" applyFill="1" applyBorder="1" applyAlignment="1">
      <x:alignment horizontal="center"/>
    </x:xf>
    <x:xf numFmtId="0" fontId="0" fillId="45" borderId="32" xfId="0" applyNumberFormat="1" applyFont="1" applyFill="1" applyBorder="1" applyAlignment="1">
      <x:alignment horizontal="center"/>
    </x:xf>
    <x:xf numFmtId="0" fontId="0" fillId="46" borderId="31" xfId="0" applyNumberFormat="1" applyFont="1" applyFill="1" applyBorder="1" applyAlignment="1">
      <x:alignment horizontal="center"/>
    </x:xf>
    <x:xf numFmtId="0" fontId="0" fillId="46" borderId="32" xfId="0" applyNumberFormat="1" applyFont="1" applyFill="1" applyBorder="1" applyAlignment="1">
      <x:alignment horizontal="center"/>
    </x:xf>
    <x:xf numFmtId="0" fontId="0" fillId="47" borderId="31" xfId="0" applyNumberFormat="1" applyFont="1" applyFill="1" applyBorder="1" applyAlignment="1">
      <x:alignment horizontal="center"/>
    </x:xf>
    <x:xf numFmtId="0" fontId="0" fillId="47" borderId="32" xfId="0" applyNumberFormat="1" applyFont="1" applyFill="1" applyBorder="1" applyAlignment="1">
      <x:alignment horizontal="center"/>
    </x:xf>
    <x:xf numFmtId="0" fontId="0" fillId="47" borderId="34" xfId="0" applyNumberFormat="1" applyFont="1" applyFill="1" applyBorder="1" applyAlignment="1">
      <x:alignment horizontal="center"/>
    </x:xf>
    <x:xf numFmtId="0" fontId="0" fillId="47" borderId="35" xfId="0" applyNumberFormat="1" applyFont="1" applyFill="1" applyBorder="1" applyAlignment="1">
      <x:alignment horizontal="center"/>
    </x:xf>
    <x:xf numFmtId="0" fontId="0" fillId="45" borderId="29" xfId="0" applyNumberFormat="1" applyFont="1" applyFill="1" applyBorder="1" applyAlignment="1">
      <x:alignment horizontal="right"/>
    </x:xf>
    <x:xf numFmtId="0" fontId="0" fillId="45" borderId="32" xfId="0" applyNumberFormat="1" applyFont="1" applyFill="1" applyBorder="1" applyAlignment="1">
      <x:alignment horizontal="right"/>
    </x:xf>
    <x:xf numFmtId="0" fontId="0" fillId="46" borderId="32" xfId="0" applyNumberFormat="1" applyFont="1" applyFill="1" applyBorder="1" applyAlignment="1">
      <x:alignment horizontal="right"/>
    </x:xf>
    <x:xf numFmtId="0" fontId="0" fillId="47" borderId="32" xfId="0" applyNumberFormat="1" applyFont="1" applyFill="1" applyBorder="1" applyAlignment="1">
      <x:alignment horizontal="right"/>
    </x:xf>
    <x:xf numFmtId="0" fontId="0" fillId="47" borderId="35" xfId="0" applyNumberFormat="1" applyFont="1" applyFill="1" applyBorder="1" applyAlignment="1">
      <x:alignment horizontal="right"/>
    </x:xf>
    <x:xf numFmtId="200" fontId="0" fillId="45" borderId="29" xfId="0" applyNumberFormat="1" applyFont="1" applyFill="1" applyBorder="1" applyAlignment="1">
      <x:alignment horizontal="right"/>
    </x:xf>
    <x:xf numFmtId="200" fontId="0" fillId="45" borderId="32" xfId="0" applyNumberFormat="1" applyFont="1" applyFill="1" applyBorder="1" applyAlignment="1">
      <x:alignment horizontal="right"/>
    </x:xf>
    <x:xf numFmtId="200" fontId="0" fillId="46" borderId="32" xfId="0" applyNumberFormat="1" applyFont="1" applyFill="1" applyBorder="1" applyAlignment="1">
      <x:alignment horizontal="right"/>
    </x:xf>
    <x:xf numFmtId="200" fontId="0" fillId="47" borderId="32" xfId="0" applyNumberFormat="1" applyFont="1" applyFill="1" applyBorder="1" applyAlignment="1">
      <x:alignment horizontal="right"/>
    </x:xf>
    <x:xf numFmtId="200" fontId="0" fillId="47" borderId="35" xfId="0" applyNumberFormat="1" applyFont="1" applyFill="1" applyBorder="1" applyAlignment="1">
      <x:alignment horizontal="right"/>
    </x:xf>
    <x:xf numFmtId="201" fontId="0" fillId="45" borderId="30" xfId="0" applyNumberFormat="1" applyFont="1" applyFill="1" applyBorder="1"/>
    <x:xf numFmtId="201" fontId="0" fillId="45" borderId="33" xfId="0" applyNumberFormat="1" applyFont="1" applyFill="1" applyBorder="1"/>
    <x:xf numFmtId="201" fontId="0" fillId="46" borderId="33" xfId="0" applyNumberFormat="1" applyFont="1" applyFill="1" applyBorder="1"/>
    <x:xf numFmtId="201" fontId="0" fillId="47" borderId="33" xfId="0" applyNumberFormat="1" applyFont="1" applyFill="1" applyBorder="1"/>
    <x:xf numFmtId="201" fontId="0" fillId="47" borderId="36" xfId="0" applyNumberFormat="1" applyFont="1" applyFill="1" applyBorder="1"/>
    <x:xf numFmtId="0" fontId="32" fillId="45" borderId="29" xfId="0" applyNumberFormat="1" applyFont="1" applyFill="1" applyBorder="1" applyAlignment="1">
      <x:alignment horizontal="center"/>
    </x:xf>
    <x:xf numFmtId="0" fontId="32" fillId="45" borderId="32" xfId="0" applyNumberFormat="1" applyFont="1" applyFill="1" applyBorder="1" applyAlignment="1">
      <x:alignment horizontal="center"/>
    </x:xf>
    <x:xf numFmtId="0" fontId="32" fillId="46" borderId="32" xfId="0" applyNumberFormat="1" applyFont="1" applyFill="1" applyBorder="1" applyAlignment="1">
      <x:alignment horizontal="center"/>
    </x:xf>
    <x:xf numFmtId="0" fontId="32" fillId="47" borderId="32" xfId="0" applyNumberFormat="1" applyFont="1" applyFill="1" applyBorder="1" applyAlignment="1">
      <x:alignment horizontal="center"/>
    </x:xf>
    <x:xf numFmtId="0" fontId="32" fillId="47" borderId="35" xfId="0" applyNumberFormat="1" applyFont="1" applyFill="1" applyBorder="1" applyAlignment="1">
      <x:alignment horizontal="center"/>
    </x:xf>
    <x:xf numFmtId="0" fontId="33" fillId="43" borderId="0" xfId="0" applyNumberFormat="1" applyFont="1" applyFill="1" applyBorder="1"/>
    <x:xf numFmtId="0" fontId="33" fillId="43" borderId="37" xfId="0" applyNumberFormat="1" applyFont="1" applyFill="1" applyBorder="1"/>
    <x:xf numFmtId="0" fontId="33" fillId="43" borderId="38" xfId="0" applyNumberFormat="1" applyFont="1" applyFill="1" applyBorder="1"/>
    <x:xf numFmtId="0" fontId="33" fillId="43" borderId="39" xfId="0" applyNumberFormat="1" applyFont="1" applyFill="1" applyBorder="1"/>
    <x:xf numFmtId="0" fontId="33" fillId="43" borderId="40" xfId="0" applyNumberFormat="1" applyFont="1" applyFill="1" applyBorder="1"/>
    <x:xf numFmtId="0" fontId="33" fillId="43" borderId="41" xfId="0" applyNumberFormat="1" applyFont="1" applyFill="1" applyBorder="1"/>
    <x:xf numFmtId="0" fontId="33" fillId="43" borderId="42" xfId="0" applyNumberFormat="1" applyFont="1" applyFill="1" applyBorder="1"/>
    <x:xf numFmtId="0" fontId="33" fillId="43" borderId="37" xfId="0" applyNumberFormat="1" applyFont="1" applyFill="1" applyBorder="1" applyAlignment="1">
      <x:alignment wrapText="1"/>
    </x:xf>
    <x:xf numFmtId="0" fontId="33" fillId="43" borderId="38" xfId="0" applyNumberFormat="1" applyFont="1" applyFill="1" applyBorder="1" applyAlignment="1">
      <x:alignment wrapText="1"/>
    </x:xf>
    <x:xf numFmtId="0" fontId="33" fillId="43" borderId="39" xfId="0" applyNumberFormat="1" applyFont="1" applyFill="1" applyBorder="1" applyAlignment="1">
      <x:alignment wrapText="1"/>
    </x:xf>
    <x:xf numFmtId="0" fontId="33" fillId="43" borderId="40" xfId="0" applyNumberFormat="1" applyFont="1" applyFill="1" applyBorder="1" applyAlignment="1">
      <x:alignment wrapText="1"/>
    </x:xf>
    <x:xf numFmtId="0" fontId="33" fillId="43" borderId="41" xfId="0" applyNumberFormat="1" applyFont="1" applyFill="1" applyBorder="1" applyAlignment="1">
      <x:alignment wrapText="1"/>
    </x:xf>
    <x:xf numFmtId="0" fontId="33" fillId="43" borderId="42" xfId="0" applyNumberFormat="1" applyFont="1" applyFill="1" applyBorder="1" applyAlignment="1">
      <x:alignment wrapText="1"/>
    </x:xf>
    <x:xf numFmtId="0" fontId="33" fillId="43" borderId="37" xfId="0" applyNumberFormat="1" applyFont="1" applyFill="1" applyBorder="1" applyAlignment="1">
      <x:alignment vertical="center" wrapText="1"/>
    </x:xf>
    <x:xf numFmtId="0" fontId="33" fillId="43" borderId="38" xfId="0" applyNumberFormat="1" applyFont="1" applyFill="1" applyBorder="1" applyAlignment="1">
      <x:alignment vertical="center" wrapText="1"/>
    </x:xf>
    <x:xf numFmtId="0" fontId="33" fillId="43" borderId="39" xfId="0" applyNumberFormat="1" applyFont="1" applyFill="1" applyBorder="1" applyAlignment="1">
      <x:alignment vertical="center" wrapText="1"/>
    </x:xf>
    <x:xf numFmtId="0" fontId="33" fillId="43" borderId="40" xfId="0" applyNumberFormat="1" applyFont="1" applyFill="1" applyBorder="1" applyAlignment="1">
      <x:alignment vertical="center" wrapText="1"/>
    </x:xf>
    <x:xf numFmtId="0" fontId="33" fillId="43" borderId="41" xfId="0" applyNumberFormat="1" applyFont="1" applyFill="1" applyBorder="1" applyAlignment="1">
      <x:alignment vertical="center" wrapText="1"/>
    </x:xf>
    <x:xf numFmtId="0" fontId="33" fillId="43" borderId="42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cc1c1a6ba0410f" /><Relationship Type="http://schemas.openxmlformats.org/officeDocument/2006/relationships/theme" Target="/xl/theme/theme1.xml" Id="Rde01dabcc4ac43f5" /><Relationship Type="http://schemas.openxmlformats.org/officeDocument/2006/relationships/sharedStrings" Target="/xl/sharedStrings.xml" Id="R4c2fa3dae24e4380" /><Relationship Type="http://schemas.openxmlformats.org/officeDocument/2006/relationships/worksheet" Target="/xl/worksheets/sheet1.xml" Id="R8e4045cac7f14d8a" /><Relationship Type="http://schemas.openxmlformats.org/officeDocument/2006/relationships/worksheet" Target="/xl/worksheets/sheet2.xml" Id="R56827535c1744a94" /><Relationship Type="http://schemas.openxmlformats.org/officeDocument/2006/relationships/worksheet" Target="/xl/worksheets/sheet3.xml" Id="Rd8b90c6c699d4395" /><Relationship Type="http://schemas.openxmlformats.org/officeDocument/2006/relationships/worksheet" Target="/xl/worksheets/sheet4.xml" Id="Rfc2bf3d9c2b441cd" /><Relationship Type="http://schemas.openxmlformats.org/officeDocument/2006/relationships/worksheet" Target="/xl/worksheets/sheet5.xml" Id="R6620710d5931451b" /><Relationship Type="http://schemas.openxmlformats.org/officeDocument/2006/relationships/worksheet" Target="/xl/worksheets/sheet6.xml" Id="R9be383974c044e15" /></Relationships>
</file>

<file path=xl/tables/table1.xml><?xml version="1.0" encoding="utf-8"?>
<x:table xmlns:x="http://schemas.openxmlformats.org/spreadsheetml/2006/main" id="1" name="PersonalDesignTable" displayName="PersonalDesignTable" ref="A4:X71" totalsRowShown="0">
  <x:autoFilter ref="A4:X71"/>
  <x:tableColumns count="24">
    <x:tableColumn id="1" name="设计编号"/>
    <x:tableColumn id="2" name="卡名"/>
    <x:tableColumn id="3" name="类别"/>
    <x:tableColumn id="4" name="强度"/>
    <x:tableColumn id="5" name="子类型"/>
    <x:tableColumn id="6" name="目标商品"/>
    <x:tableColumn id="7" name="使用时点"/>
    <x:tableColumn id="8" name="卡面效果"/>
    <x:tableColumn id="9" name="持续/月度时点"/>
    <x:tableColumn id="10" name="关键词"/>
    <x:tableColumn id="11" name="印刷张数"/>
    <x:tableColumn id="12" name="方向"/>
    <x:tableColumn id="13" name="每月总影响格数"/>
    <x:tableColumn id="14" name="作用月数"/>
    <x:tableColumn id="15" name="单牌等效总格数"/>
    <x:tableColumn id="16" name="牌堆等效总格数"/>
    <x:tableColumn id="17" name="原油每月"/>
    <x:tableColumn id="18" name="黄金每月"/>
    <x:tableColumn id="19" name="棉花每月"/>
    <x:tableColumn id="20" name="铜每月"/>
    <x:tableColumn id="21" name="原油牌堆等效"/>
    <x:tableColumn id="22" name="黄金牌堆等效"/>
    <x:tableColumn id="23" name="棉花牌堆等效"/>
    <x:tableColumn id="24" name="铜牌堆等效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rsonalPrintTable" displayName="PersonalPrintTable" ref="A4:J164" totalsRowShown="0">
  <x:autoFilter ref="A4:J164"/>
  <x:tableColumns count="10">
    <x:tableColumn id="1" name="实体卡编号"/>
    <x:tableColumn id="2" name="设计编号"/>
    <x:tableColumn id="3" name="复本序号"/>
    <x:tableColumn id="4" name="卡名"/>
    <x:tableColumn id="5" name="类别"/>
    <x:tableColumn id="6" name="强度"/>
    <x:tableColumn id="7" name="目标"/>
    <x:tableColumn id="8" name="卡面效果"/>
    <x:tableColumn id="9" name="月度/持续"/>
    <x:tableColumn id="10" name="关键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ublicEventTable" displayName="PublicEventTable" ref="A4:T24" totalsRowShown="0">
  <x:autoFilter ref="A4:T24"/>
  <x:tableColumns count="20">
    <x:tableColumn id="1" name="编号"/>
    <x:tableColumn id="2" name="事件名称"/>
    <x:tableColumn id="3" name="大类"/>
    <x:tableColumn id="4" name="强度"/>
    <x:tableColumn id="5" name="子类型"/>
    <x:tableColumn id="6" name="目标商品"/>
    <x:tableColumn id="7" name="卡面效果"/>
    <x:tableColumn id="8" name="持续/月度时点"/>
    <x:tableColumn id="9" name="关键词"/>
    <x:tableColumn id="10" name="原油每月"/>
    <x:tableColumn id="11" name="黄金每月"/>
    <x:tableColumn id="12" name="棉花每月"/>
    <x:tableColumn id="13" name="铜每月"/>
    <x:tableColumn id="14" name="每月总影响格数"/>
    <x:tableColumn id="15" name="作用月数"/>
    <x:tableColumn id="16" name="单牌等效总格数"/>
    <x:tableColumn id="17" name="原油总影响"/>
    <x:tableColumn id="18" name="黄金总影响"/>
    <x:tableColumn id="19" name="棉花总影响"/>
    <x:tableColumn id="20" name="铜总影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2b5e384d2e42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87a350c3de422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2a4a051dd1c4e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2.5" customWidth="1"/>
    <x:col min="2" max="2" width="15" customWidth="1"/>
    <x:col min="3" max="3" width="11.25" customWidth="1"/>
    <x:col min="4" max="4" width="23.75" customWidth="1"/>
    <x:col min="5" max="6" width="15.633333206176758" customWidth="1"/>
    <x:col min="7" max="7" width="33.75" customWidth="1"/>
    <x:col min="8" max="8" width="6.25" customWidth="1"/>
  </x:cols>
  <x:sheetData>
    <x:row r="1" ht="31.5" customHeight="1">
      <x:c r="A1" s="1" t="s">
        <x:v>0</x:v>
      </x:c>
      <x:c r="B1" s="1"/>
      <x:c r="C1" s="1"/>
      <x:c r="D1" s="1"/>
      <x:c r="E1" s="1"/>
      <x:c r="F1" s="1"/>
      <x:c r="G1" s="1"/>
      <x:c r="H1" s="1"/>
    </x:row>
    <x:row r="2" ht="27" customHeight="1">
      <x:c r="A2" s="2" t="s">
        <x:v>1</x:v>
      </x:c>
      <x:c r="B2" s="2"/>
      <x:c r="C2" s="2"/>
      <x:c r="D2" s="2"/>
      <x:c r="E2" s="2"/>
      <x:c r="F2" s="2"/>
      <x:c r="G2" s="2"/>
      <x:c r="H2" s="2"/>
    </x:row>
    <x:row r="4" ht="27" customHeight="1">
      <x:c r="A4" s="3" t="s">
        <x:v>2</x:v>
      </x:c>
      <x:c r="B4" s="3" t="s">
        <x:v>3</x:v>
      </x:c>
      <x:c r="D4" s="3" t="s">
        <x:v>4</x:v>
      </x:c>
      <x:c r="E4" s="3" t="s">
        <x:v>5</x:v>
      </x:c>
      <x:c r="F4" s="3" t="s">
        <x:v>6</x:v>
      </x:c>
      <x:c r="G4" s="3" t="s">
        <x:v>7</x:v>
      </x:c>
    </x:row>
    <x:row r="5">
      <x:c r="A5" s="4" t="s">
        <x:v>8</x:v>
      </x:c>
      <x:c r="B5" s="4" t="str">
        <x:f>1&amp;" 个月"</x:f>
        <x:v>1 个月</x:v>
      </x:c>
      <x:c r="D5" s="4" t="s">
        <x:v>9</x:v>
      </x:c>
      <x:c r="E5" s="4" t="n">
        <x:f>COUNTIF('个人牌设计'!$C$5:$C$71,D5)</x:f>
        <x:v>40</x:v>
      </x:c>
      <x:c r="F5" s="4" t="n">
        <x:f>SUMIF('个人牌设计'!$C$5:$C$71,D5,'个人牌设计'!$K$5:$K$71)</x:f>
        <x:v>96</x:v>
      </x:c>
      <x:c r="G5" s="22" t="n">
        <x:f>F5/160</x:f>
        <x:v>0.6</x:v>
      </x:c>
    </x:row>
    <x:row r="6">
      <x:c r="A6" s="4" t="s">
        <x:v>10</x:v>
      </x:c>
      <x:c r="B6" s="4" t="str">
        <x:f>8*1&amp;" 个月"</x:f>
        <x:v>8 个月</x:v>
      </x:c>
      <x:c r="D6" s="4" t="s">
        <x:v>11</x:v>
      </x:c>
      <x:c r="E6" s="4" t="n">
        <x:f>COUNTIF('个人牌设计'!$C$5:$C$71,D6)</x:f>
        <x:v>12</x:v>
      </x:c>
      <x:c r="F6" s="4" t="n">
        <x:f>SUMIF('个人牌设计'!$C$5:$C$71,D6,'个人牌设计'!$K$5:$K$71)</x:f>
        <x:v>24</x:v>
      </x:c>
      <x:c r="G6" s="22" t="n">
        <x:f>F6/160</x:f>
        <x:v>0.15</x:v>
      </x:c>
    </x:row>
    <x:row r="7">
      <x:c r="A7" s="4" t="s">
        <x:v>12</x:v>
      </x:c>
      <x:c r="B7" s="4" t="n">
        <x:f>COUNTA('个人牌设计'!$A$5:$A$71)</x:f>
        <x:v>67</x:v>
      </x:c>
      <x:c r="D7" s="4" t="s">
        <x:v>13</x:v>
      </x:c>
      <x:c r="E7" s="4" t="n">
        <x:f>COUNTIF('个人牌设计'!$C$5:$C$71,D7)</x:f>
        <x:v>8</x:v>
      </x:c>
      <x:c r="F7" s="4" t="n">
        <x:f>SUMIF('个人牌设计'!$C$5:$C$71,D7,'个人牌设计'!$K$5:$K$71)</x:f>
        <x:v>16</x:v>
      </x:c>
      <x:c r="G7" s="22" t="n">
        <x:f>F7/160</x:f>
        <x:v>0.1</x:v>
      </x:c>
    </x:row>
    <x:row r="8">
      <x:c r="A8" s="4" t="s">
        <x:v>14</x:v>
      </x:c>
      <x:c r="B8" s="4" t="n">
        <x:f>SUM('个人牌设计'!$K$5:$K$71)</x:f>
        <x:v>160</x:v>
      </x:c>
      <x:c r="D8" s="4" t="s">
        <x:v>15</x:v>
      </x:c>
      <x:c r="E8" s="4" t="n">
        <x:f>COUNTIF('个人牌设计'!$C$5:$C$71,D8)</x:f>
        <x:v>7</x:v>
      </x:c>
      <x:c r="F8" s="4" t="n">
        <x:f>SUMIF('个人牌设计'!$C$5:$C$71,D8,'个人牌设计'!$K$5:$K$71)</x:f>
        <x:v>24</x:v>
      </x:c>
      <x:c r="G8" s="22" t="n">
        <x:f>F8/160</x:f>
        <x:v>0.15</x:v>
      </x:c>
    </x:row>
    <x:row r="9">
      <x:c r="A9" s="4" t="s">
        <x:v>16</x:v>
      </x:c>
      <x:c r="B9" s="4" t="n">
        <x:f>COUNTA('公共事件牌'!$A$5:$A$24)</x:f>
        <x:v>20</x:v>
      </x:c>
      <x:c r="D9" s="4" t="s">
        <x:v>17</x:v>
      </x:c>
      <x:c r="E9" s="4" t="n">
        <x:f>SUM(E5:E8)</x:f>
        <x:v>67</x:v>
      </x:c>
      <x:c r="F9" s="4" t="n">
        <x:f>SUM(F5:F8)</x:f>
        <x:v>160</x:v>
      </x:c>
      <x:c r="G9" s="22" t="n">
        <x:f>SUM(G5:G8)</x:f>
        <x:v>1</x:v>
      </x:c>
    </x:row>
    <x:row r="11" ht="27" customHeight="1">
      <x:c r="A11" s="3" t="s">
        <x:v>18</x:v>
      </x:c>
      <x:c r="B11" s="3" t="s">
        <x:v>19</x:v>
      </x:c>
      <x:c r="C11" s="3" t="s">
        <x:v>7</x:v>
      </x:c>
      <x:c r="E11" s="3" t="s">
        <x:v>20</x:v>
      </x:c>
      <x:c r="F11" s="3" t="s">
        <x:v>21</x:v>
      </x:c>
      <x:c r="G11" s="3" t="s">
        <x:v>22</x:v>
      </x:c>
    </x:row>
    <x:row r="12">
      <x:c r="A12" s="4" t="s">
        <x:v>23</x:v>
      </x:c>
      <x:c r="B12" s="4" t="n">
        <x:f>SUMIF('个人牌设计'!$D$5:$D$71,A12,'个人牌设计'!$K$5:$K$71)</x:f>
        <x:v>88</x:v>
      </x:c>
      <x:c r="C12" s="22" t="n">
        <x:f>B12/160</x:f>
        <x:v>0.55</x:v>
      </x:c>
      <x:c r="E12" s="4" t="s">
        <x:v>24</x:v>
      </x:c>
      <x:c r="F12" s="4" t="n">
        <x:f>COUNTIF('公共事件牌'!$D$5:$D$24,E12)</x:f>
        <x:v>8</x:v>
      </x:c>
      <x:c r="G12" s="4" t="s">
        <x:v>25</x:v>
      </x:c>
    </x:row>
    <x:row r="13">
      <x:c r="A13" s="4" t="s">
        <x:v>24</x:v>
      </x:c>
      <x:c r="B13" s="4" t="n">
        <x:f>SUMIF('个人牌设计'!$D$5:$D$71,A13,'个人牌设计'!$K$5:$K$71)</x:f>
        <x:v>24</x:v>
      </x:c>
      <x:c r="C13" s="22" t="n">
        <x:f>B13/160</x:f>
        <x:v>0.15</x:v>
      </x:c>
      <x:c r="E13" s="4" t="s">
        <x:v>26</x:v>
      </x:c>
      <x:c r="F13" s="4" t="n">
        <x:f>COUNTIF('公共事件牌'!$D$5:$D$24,E13)</x:f>
        <x:v>4</x:v>
      </x:c>
      <x:c r="G13" s="4" t="s">
        <x:v>27</x:v>
      </x:c>
    </x:row>
    <x:row r="14">
      <x:c r="A14" s="4" t="s">
        <x:v>26</x:v>
      </x:c>
      <x:c r="B14" s="4" t="n">
        <x:f>SUMIF('个人牌设计'!$D$5:$D$71,A14,'个人牌设计'!$K$5:$K$71)</x:f>
        <x:v>8</x:v>
      </x:c>
      <x:c r="C14" s="22" t="n">
        <x:f>B14/160</x:f>
        <x:v>0.05</x:v>
      </x:c>
      <x:c r="E14" s="4" t="s">
        <x:v>28</x:v>
      </x:c>
      <x:c r="F14" s="4" t="n">
        <x:f>COUNTIF('公共事件牌'!$D$5:$D$24,E14)</x:f>
        <x:v>4</x:v>
      </x:c>
      <x:c r="G14" s="4" t="s">
        <x:v>29</x:v>
      </x:c>
    </x:row>
    <x:row r="15">
      <x:c r="A15" s="4" t="s">
        <x:v>28</x:v>
      </x:c>
      <x:c r="B15" s="4" t="n">
        <x:f>SUMIF('个人牌设计'!$D$5:$D$71,A15,'个人牌设计'!$K$5:$K$71)</x:f>
        <x:v>16</x:v>
      </x:c>
      <x:c r="C15" s="22" t="n">
        <x:f>B15/160</x:f>
        <x:v>0.1</x:v>
      </x:c>
      <x:c r="E15" s="4" t="s">
        <x:v>30</x:v>
      </x:c>
      <x:c r="F15" s="4" t="n">
        <x:f>COUNTIF('公共事件牌'!$D$5:$D$24,E15)</x:f>
        <x:v>3</x:v>
      </x:c>
      <x:c r="G15" s="4" t="s">
        <x:v>31</x:v>
      </x:c>
    </x:row>
    <x:row r="16">
      <x:c r="A16" s="4" t="s">
        <x:v>32</x:v>
      </x:c>
      <x:c r="B16" s="4" t="n">
        <x:f>SUMIF('个人牌设计'!$D$5:$D$71,A16,'个人牌设计'!$K$5:$K$71)</x:f>
        <x:v>24</x:v>
      </x:c>
      <x:c r="C16" s="22" t="n">
        <x:f>B16/160</x:f>
        <x:v>0.15</x:v>
      </x:c>
      <x:c r="E16" s="4" t="s">
        <x:v>33</x:v>
      </x:c>
      <x:c r="F16" s="4" t="n">
        <x:f>COUNTIF('公共事件牌'!$D$5:$D$24,E16)</x:f>
        <x:v>1</x:v>
      </x:c>
      <x:c r="G16" s="4" t="s">
        <x:v>34</x:v>
      </x:c>
    </x:row>
    <x:row r="17">
      <x:c r="A17" s="4" t="s">
        <x:v>17</x:v>
      </x:c>
      <x:c r="B17" s="4" t="n">
        <x:f>SUM(B12:B16)</x:f>
        <x:v>160</x:v>
      </x:c>
      <x:c r="C17" s="22" t="n">
        <x:f>SUM(C12:C16)</x:f>
        <x:v>1</x:v>
      </x:c>
      <x:c r="E17" s="4" t="s">
        <x:v>17</x:v>
      </x:c>
      <x:c r="F17" s="4" t="n">
        <x:f>SUM(F12:F16)</x:f>
        <x:v>20</x:v>
      </x:c>
      <x:c r="G17" s="4" t="s">
        <x:v>35</x:v>
      </x:c>
    </x:row>
    <x:row r="19">
      <x:c r="A19" s="23" t="s">
        <x:v>36</x:v>
      </x:c>
      <x:c r="B19" s="24"/>
      <x:c r="C19" s="24"/>
      <x:c r="D19" s="24"/>
      <x:c r="E19" s="24"/>
      <x:c r="F19" s="24"/>
      <x:c r="G19" s="24"/>
      <x:c r="H19" s="25"/>
    </x:row>
    <x:row r="20">
      <x:c r="A20" s="26"/>
      <x:c r="B20" s="27"/>
      <x:c r="C20" s="27"/>
      <x:c r="D20" s="27"/>
      <x:c r="E20" s="27"/>
      <x:c r="F20" s="27"/>
      <x:c r="G20" s="27"/>
      <x:c r="H20" s="28"/>
    </x:row>
    <x:row r="22">
      <x:c r="A22" s="6" t="str">
        <x:v>强度原则：现货无单月涨跌上限；低位扶升仅以第 1—17 格为目标，高位压降仅以第 35—51 格为目标。卡牌不直接移动期货价格。</x:v>
      </x:c>
      <x:c r="B22" s="7"/>
      <x:c r="C22" s="7"/>
      <x:c r="D22" s="7"/>
      <x:c r="E22" s="7"/>
      <x:c r="F22" s="7"/>
      <x:c r="G22" s="7"/>
      <x:c r="H22" s="8"/>
    </x:row>
    <x:row r="23">
      <x:c r="A23" s="12"/>
      <x:c r="B23" s="13"/>
      <x:c r="C23" s="13"/>
      <x:c r="D23" s="13"/>
      <x:c r="E23" s="13"/>
      <x:c r="F23" s="13"/>
      <x:c r="G23" s="13"/>
      <x:c r="H23" s="14"/>
    </x:row>
    <x:row r="25">
      <x:c r="A25" s="29" t="str">
        <x:v>区间修正牌共 8 张：低位扶升 4 张（牌堆等效 +6 格），高位压降 4 张（牌堆等效 -6 格）；数量与强度成对。</x:v>
      </x:c>
      <x:c r="B25" s="29"/>
      <x:c r="C25" s="29"/>
      <x:c r="D25" s="29"/>
      <x:c r="E25" s="29"/>
      <x:c r="F25" s="29"/>
      <x:c r="G25" s="29"/>
      <x:c r="H25" s="29"/>
    </x:row>
  </x:sheetData>
  <x:mergeCells>
    <x:mergeCell ref="A1:H1"/>
    <x:mergeCell ref="A2:H2"/>
    <x:mergeCell ref="A25:H25"/>
    <x:mergeCell ref="A19:H20"/>
    <x:mergeCell ref="A22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14.75" customWidth="1"/>
    <x:col min="2" max="2" width="23.75" customWidth="1"/>
    <x:col min="3" max="3" width="18.75" customWidth="1"/>
    <x:col min="4" max="4" width="9" customWidth="1"/>
    <x:col min="5" max="5" width="15.633333206176758" customWidth="1"/>
    <x:col min="6" max="6" width="13.133333206176758" customWidth="1"/>
    <x:col min="7" max="7" width="12.5" customWidth="1"/>
    <x:col min="8" max="8" width="42.625" customWidth="1"/>
    <x:col min="9" max="9" width="29.383333206176758" customWidth="1"/>
    <x:col min="10" max="10" width="21.883333206176758" customWidth="1"/>
    <x:col min="11" max="16" width="11.883333206176758" customWidth="1"/>
    <x:col min="17" max="24" width="11.5" customWidth="1"/>
  </x:cols>
  <x:sheetData>
    <x:row r="1" ht="31.5" customHeight="1">
      <x:c r="A1" s="1" t="s">
        <x:v>37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 ht="27" customHeight="1">
      <x:c r="A2" s="2" t="str">
        <x:v>每行代表一种设计；1 回合 = 1 个月。PI-MACRO-05—08 为区间修正牌：低价区第 1—17 格，高价区第 35—51 格。O—X 用于核对强度与方向平衡。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4" ht="27" customHeight="1">
      <x:c r="A4" s="3" t="s">
        <x:v>38</x:v>
      </x:c>
      <x:c r="B4" s="3" t="s">
        <x:v>39</x:v>
      </x:c>
      <x:c r="C4" s="3" t="s">
        <x:v>40</x:v>
      </x:c>
      <x:c r="D4" s="3" t="s">
        <x:v>41</x:v>
      </x:c>
      <x:c r="E4" s="3" t="s">
        <x:v>42</x:v>
      </x:c>
      <x:c r="F4" s="3" t="s">
        <x:v>43</x:v>
      </x:c>
      <x:c r="G4" s="3" t="s">
        <x:v>44</x:v>
      </x:c>
      <x:c r="H4" s="3" t="s">
        <x:v>45</x:v>
      </x:c>
      <x:c r="I4" s="3" t="s">
        <x:v>46</x:v>
      </x:c>
      <x:c r="J4" s="3" t="s">
        <x:v>47</x:v>
      </x:c>
      <x:c r="K4" s="3" t="s">
        <x:v>6</x:v>
      </x:c>
      <x:c r="L4" s="3" t="s">
        <x:v>48</x:v>
      </x:c>
      <x:c r="M4" s="3" t="s">
        <x:v>49</x:v>
      </x:c>
      <x:c r="N4" s="3" t="s">
        <x:v>50</x:v>
      </x:c>
      <x:c r="O4" s="3" t="s">
        <x:v>51</x:v>
      </x:c>
      <x:c r="P4" s="3" t="s">
        <x:v>52</x:v>
      </x:c>
      <x:c r="Q4" s="3" t="s">
        <x:v>53</x:v>
      </x:c>
      <x:c r="R4" s="3" t="s">
        <x:v>54</x:v>
      </x:c>
      <x:c r="S4" s="3" t="s">
        <x:v>55</x:v>
      </x:c>
      <x:c r="T4" s="3" t="s">
        <x:v>56</x:v>
      </x:c>
      <x:c r="U4" s="3" t="s">
        <x:v>57</x:v>
      </x:c>
      <x:c r="V4" s="3" t="s">
        <x:v>58</x:v>
      </x:c>
      <x:c r="W4" s="3" t="s">
        <x:v>59</x:v>
      </x:c>
      <x:c r="X4" s="3" t="s">
        <x:v>60</x:v>
      </x:c>
    </x:row>
    <x:row r="5" ht="28.5" customHeight="1">
      <x:c r="A5" s="4" t="s">
        <x:v>61</x:v>
      </x:c>
      <x:c r="B5" s="4" t="s">
        <x:v>62</x:v>
      </x:c>
      <x:c r="C5" s="4" t="s">
        <x:v>9</x:v>
      </x:c>
      <x:c r="D5" s="21" t="s">
        <x:v>23</x:v>
      </x:c>
      <x:c r="E5" s="4" t="s">
        <x:v>63</x:v>
      </x:c>
      <x:c r="F5" s="4" t="s">
        <x:v>64</x:v>
      </x:c>
      <x:c r="G5" s="4" t="s">
        <x:v>65</x:v>
      </x:c>
      <x:c r="H5" s="4" t="s">
        <x:v>66</x:v>
      </x:c>
      <x:c r="I5" s="4" t="s">
        <x:v>67</x:v>
      </x:c>
      <x:c r="J5" s="4" t="s">
        <x:v>68</x:v>
      </x:c>
      <x:c r="K5" s="16">
        <x:v>3</x:v>
      </x:c>
      <x:c r="L5" s="16" t="s">
        <x:v>69</x:v>
      </x:c>
      <x:c r="M5" s="16">
        <x:v>1</x:v>
      </x:c>
      <x:c r="N5" s="16">
        <x:v>1</x:v>
      </x:c>
      <x:c r="O5" s="16" t="n">
        <x:f t="shared" ref="O5:O68" si="0">M5*N5</x:f>
        <x:v>1</x:v>
      </x:c>
      <x:c r="P5" s="16" t="n">
        <x:f t="shared" ref="P5:P68" si="1">K5*O5</x:f>
        <x:v>3</x:v>
      </x:c>
      <x:c r="Q5" s="16">
        <x:v>1</x:v>
      </x:c>
      <x:c r="R5" s="16">
        <x:v>0</x:v>
      </x:c>
      <x:c r="S5" s="16">
        <x:v>0</x:v>
      </x:c>
      <x:c r="T5" s="16">
        <x:v>0</x:v>
      </x:c>
      <x:c r="U5" s="16" t="n">
        <x:f t="shared" ref="U5:U68" si="2">K5*N5*Q5</x:f>
        <x:v>3</x:v>
      </x:c>
      <x:c r="V5" s="16" t="n">
        <x:f t="shared" ref="V5:V68" si="3">K5*N5*R5</x:f>
        <x:v>0</x:v>
      </x:c>
      <x:c r="W5" s="16" t="n">
        <x:f t="shared" ref="W5:W68" si="4">K5*N5*S5</x:f>
        <x:v>0</x:v>
      </x:c>
      <x:c r="X5" s="16" t="n">
        <x:f t="shared" ref="X5:X68" si="5">K5*N5*T5</x:f>
        <x:v>0</x:v>
      </x:c>
    </x:row>
    <x:row r="6" ht="28.5" customHeight="1">
      <x:c r="A6" s="4" t="s">
        <x:v>70</x:v>
      </x:c>
      <x:c r="B6" s="4" t="s">
        <x:v>71</x:v>
      </x:c>
      <x:c r="C6" s="4" t="s">
        <x:v>9</x:v>
      </x:c>
      <x:c r="D6" s="21" t="s">
        <x:v>23</x:v>
      </x:c>
      <x:c r="E6" s="4" t="s">
        <x:v>63</x:v>
      </x:c>
      <x:c r="F6" s="4" t="s">
        <x:v>64</x:v>
      </x:c>
      <x:c r="G6" s="4" t="s">
        <x:v>65</x:v>
      </x:c>
      <x:c r="H6" s="4" t="s">
        <x:v>66</x:v>
      </x:c>
      <x:c r="I6" s="4" t="s">
        <x:v>67</x:v>
      </x:c>
      <x:c r="J6" s="4" t="s">
        <x:v>68</x:v>
      </x:c>
      <x:c r="K6" s="16">
        <x:v>3</x:v>
      </x:c>
      <x:c r="L6" s="16" t="s">
        <x:v>69</x:v>
      </x:c>
      <x:c r="M6" s="16">
        <x:v>1</x:v>
      </x:c>
      <x:c r="N6" s="16">
        <x:v>1</x:v>
      </x:c>
      <x:c r="O6" s="16">
        <x:f t="shared" si="0"/>
        <x:v>1</x:v>
      </x:c>
      <x:c r="P6" s="16">
        <x:f t="shared" si="1"/>
        <x:v>3</x:v>
      </x:c>
      <x:c r="Q6" s="16">
        <x:v>1</x:v>
      </x:c>
      <x:c r="R6" s="16">
        <x:v>0</x:v>
      </x:c>
      <x:c r="S6" s="16">
        <x:v>0</x:v>
      </x:c>
      <x:c r="T6" s="16">
        <x:v>0</x:v>
      </x:c>
      <x:c r="U6" s="16">
        <x:f t="shared" si="2"/>
        <x:v>3</x:v>
      </x:c>
      <x:c r="V6" s="16">
        <x:f t="shared" si="3"/>
        <x:v>0</x:v>
      </x:c>
      <x:c r="W6" s="16">
        <x:f t="shared" si="4"/>
        <x:v>0</x:v>
      </x:c>
      <x:c r="X6" s="16">
        <x:f t="shared" si="5"/>
        <x:v>0</x:v>
      </x:c>
    </x:row>
    <x:row r="7" ht="28.5" customHeight="1">
      <x:c r="A7" s="4" t="s">
        <x:v>72</x:v>
      </x:c>
      <x:c r="B7" s="4" t="s">
        <x:v>73</x:v>
      </x:c>
      <x:c r="C7" s="4" t="s">
        <x:v>9</x:v>
      </x:c>
      <x:c r="D7" s="21" t="s">
        <x:v>23</x:v>
      </x:c>
      <x:c r="E7" s="4" t="s">
        <x:v>63</x:v>
      </x:c>
      <x:c r="F7" s="4" t="s">
        <x:v>64</x:v>
      </x:c>
      <x:c r="G7" s="4" t="s">
        <x:v>65</x:v>
      </x:c>
      <x:c r="H7" s="4" t="s">
        <x:v>66</x:v>
      </x:c>
      <x:c r="I7" s="4" t="s">
        <x:v>67</x:v>
      </x:c>
      <x:c r="J7" s="4" t="s">
        <x:v>68</x:v>
      </x:c>
      <x:c r="K7" s="16">
        <x:v>3</x:v>
      </x:c>
      <x:c r="L7" s="16" t="s">
        <x:v>69</x:v>
      </x:c>
      <x:c r="M7" s="16">
        <x:v>1</x:v>
      </x:c>
      <x:c r="N7" s="16">
        <x:v>1</x:v>
      </x:c>
      <x:c r="O7" s="16">
        <x:f t="shared" si="0"/>
        <x:v>1</x:v>
      </x:c>
      <x:c r="P7" s="16">
        <x:f t="shared" si="1"/>
        <x:v>3</x:v>
      </x:c>
      <x:c r="Q7" s="16">
        <x:v>1</x:v>
      </x:c>
      <x:c r="R7" s="16">
        <x:v>0</x:v>
      </x:c>
      <x:c r="S7" s="16">
        <x:v>0</x:v>
      </x:c>
      <x:c r="T7" s="16">
        <x:v>0</x:v>
      </x:c>
      <x:c r="U7" s="16">
        <x:f t="shared" si="2"/>
        <x:v>3</x:v>
      </x:c>
      <x:c r="V7" s="16">
        <x:f t="shared" si="3"/>
        <x:v>0</x:v>
      </x:c>
      <x:c r="W7" s="16">
        <x:f t="shared" si="4"/>
        <x:v>0</x:v>
      </x:c>
      <x:c r="X7" s="16">
        <x:f t="shared" si="5"/>
        <x:v>0</x:v>
      </x:c>
    </x:row>
    <x:row r="8" ht="28.5" customHeight="1">
      <x:c r="A8" s="4" t="s">
        <x:v>74</x:v>
      </x:c>
      <x:c r="B8" s="4" t="s">
        <x:v>75</x:v>
      </x:c>
      <x:c r="C8" s="4" t="s">
        <x:v>9</x:v>
      </x:c>
      <x:c r="D8" s="15" t="s">
        <x:v>24</x:v>
      </x:c>
      <x:c r="E8" s="4" t="s">
        <x:v>63</x:v>
      </x:c>
      <x:c r="F8" s="4" t="s">
        <x:v>64</x:v>
      </x:c>
      <x:c r="G8" s="4" t="s">
        <x:v>65</x:v>
      </x:c>
      <x:c r="H8" s="4" t="s">
        <x:v>76</x:v>
      </x:c>
      <x:c r="I8" s="4" t="s">
        <x:v>67</x:v>
      </x:c>
      <x:c r="J8" s="4" t="s">
        <x:v>77</x:v>
      </x:c>
      <x:c r="K8" s="16">
        <x:v>2</x:v>
      </x:c>
      <x:c r="L8" s="16" t="s">
        <x:v>69</x:v>
      </x:c>
      <x:c r="M8" s="16">
        <x:v>2</x:v>
      </x:c>
      <x:c r="N8" s="16">
        <x:v>1</x:v>
      </x:c>
      <x:c r="O8" s="16">
        <x:f t="shared" si="0"/>
        <x:v>2</x:v>
      </x:c>
      <x:c r="P8" s="16">
        <x:f t="shared" si="1"/>
        <x:v>4</x:v>
      </x:c>
      <x:c r="Q8" s="16">
        <x:v>2</x:v>
      </x:c>
      <x:c r="R8" s="16">
        <x:v>0</x:v>
      </x:c>
      <x:c r="S8" s="16">
        <x:v>0</x:v>
      </x:c>
      <x:c r="T8" s="16">
        <x:v>0</x:v>
      </x:c>
      <x:c r="U8" s="16">
        <x:f t="shared" si="2"/>
        <x:v>4</x:v>
      </x:c>
      <x:c r="V8" s="16">
        <x:f t="shared" si="3"/>
        <x:v>0</x:v>
      </x:c>
      <x:c r="W8" s="16">
        <x:f t="shared" si="4"/>
        <x:v>0</x:v>
      </x:c>
      <x:c r="X8" s="16">
        <x:f t="shared" si="5"/>
        <x:v>0</x:v>
      </x:c>
    </x:row>
    <x:row r="9" ht="28.5" customHeight="1">
      <x:c r="A9" s="4" t="s">
        <x:v>78</x:v>
      </x:c>
      <x:c r="B9" s="4" t="s">
        <x:v>79</x:v>
      </x:c>
      <x:c r="C9" s="4" t="s">
        <x:v>9</x:v>
      </x:c>
      <x:c r="D9" s="17" t="s">
        <x:v>26</x:v>
      </x:c>
      <x:c r="E9" s="4" t="s">
        <x:v>63</x:v>
      </x:c>
      <x:c r="F9" s="4" t="s">
        <x:v>64</x:v>
      </x:c>
      <x:c r="G9" s="4" t="s">
        <x:v>65</x:v>
      </x:c>
      <x:c r="H9" s="4" t="s">
        <x:v>80</x:v>
      </x:c>
      <x:c r="I9" s="4" t="s">
        <x:v>67</x:v>
      </x:c>
      <x:c r="J9" s="4" t="s">
        <x:v>81</x:v>
      </x:c>
      <x:c r="K9" s="16">
        <x:v>1</x:v>
      </x:c>
      <x:c r="L9" s="16" t="s">
        <x:v>69</x:v>
      </x:c>
      <x:c r="M9" s="16">
        <x:v>3</x:v>
      </x:c>
      <x:c r="N9" s="16">
        <x:v>1</x:v>
      </x:c>
      <x:c r="O9" s="16">
        <x:f t="shared" si="0"/>
        <x:v>3</x:v>
      </x:c>
      <x:c r="P9" s="16">
        <x:f t="shared" si="1"/>
        <x:v>3</x:v>
      </x:c>
      <x:c r="Q9" s="16">
        <x:v>3</x:v>
      </x:c>
      <x:c r="R9" s="16">
        <x:v>0</x:v>
      </x:c>
      <x:c r="S9" s="16">
        <x:v>0</x:v>
      </x:c>
      <x:c r="T9" s="16">
        <x:v>0</x:v>
      </x:c>
      <x:c r="U9" s="16">
        <x:f t="shared" si="2"/>
        <x:v>3</x:v>
      </x:c>
      <x:c r="V9" s="16">
        <x:f t="shared" si="3"/>
        <x:v>0</x:v>
      </x:c>
      <x:c r="W9" s="16">
        <x:f t="shared" si="4"/>
        <x:v>0</x:v>
      </x:c>
      <x:c r="X9" s="16">
        <x:f t="shared" si="5"/>
        <x:v>0</x:v>
      </x:c>
    </x:row>
    <x:row r="10" ht="28.5" customHeight="1">
      <x:c r="A10" s="4" t="s">
        <x:v>82</x:v>
      </x:c>
      <x:c r="B10" s="4" t="s">
        <x:v>83</x:v>
      </x:c>
      <x:c r="C10" s="4" t="s">
        <x:v>9</x:v>
      </x:c>
      <x:c r="D10" s="21" t="s">
        <x:v>23</x:v>
      </x:c>
      <x:c r="E10" s="4" t="s">
        <x:v>84</x:v>
      </x:c>
      <x:c r="F10" s="4" t="s">
        <x:v>64</x:v>
      </x:c>
      <x:c r="G10" s="4" t="s">
        <x:v>65</x:v>
      </x:c>
      <x:c r="H10" s="4" t="s">
        <x:v>85</x:v>
      </x:c>
      <x:c r="I10" s="4" t="s">
        <x:v>67</x:v>
      </x:c>
      <x:c r="J10" s="4" t="s">
        <x:v>86</x:v>
      </x:c>
      <x:c r="K10" s="16">
        <x:v>3</x:v>
      </x:c>
      <x:c r="L10" s="16" t="s">
        <x:v>87</x:v>
      </x:c>
      <x:c r="M10" s="16">
        <x:v>1</x:v>
      </x:c>
      <x:c r="N10" s="16">
        <x:v>1</x:v>
      </x:c>
      <x:c r="O10" s="16">
        <x:f t="shared" si="0"/>
        <x:v>1</x:v>
      </x:c>
      <x:c r="P10" s="16">
        <x:f t="shared" si="1"/>
        <x:v>3</x:v>
      </x:c>
      <x:c r="Q10" s="16">
        <x:v>-1</x:v>
      </x:c>
      <x:c r="R10" s="16">
        <x:v>0</x:v>
      </x:c>
      <x:c r="S10" s="16">
        <x:v>0</x:v>
      </x:c>
      <x:c r="T10" s="16">
        <x:v>0</x:v>
      </x:c>
      <x:c r="U10" s="16">
        <x:f t="shared" si="2"/>
        <x:v>-3</x:v>
      </x:c>
      <x:c r="V10" s="16">
        <x:f t="shared" si="3"/>
        <x:v>0</x:v>
      </x:c>
      <x:c r="W10" s="16">
        <x:f t="shared" si="4"/>
        <x:v>0</x:v>
      </x:c>
      <x:c r="X10" s="16">
        <x:f t="shared" si="5"/>
        <x:v>0</x:v>
      </x:c>
    </x:row>
    <x:row r="11" ht="28.5" customHeight="1">
      <x:c r="A11" s="4" t="s">
        <x:v>88</x:v>
      </x:c>
      <x:c r="B11" s="4" t="s">
        <x:v>89</x:v>
      </x:c>
      <x:c r="C11" s="4" t="s">
        <x:v>9</x:v>
      </x:c>
      <x:c r="D11" s="21" t="s">
        <x:v>23</x:v>
      </x:c>
      <x:c r="E11" s="4" t="s">
        <x:v>84</x:v>
      </x:c>
      <x:c r="F11" s="4" t="s">
        <x:v>64</x:v>
      </x:c>
      <x:c r="G11" s="4" t="s">
        <x:v>65</x:v>
      </x:c>
      <x:c r="H11" s="4" t="s">
        <x:v>85</x:v>
      </x:c>
      <x:c r="I11" s="4" t="s">
        <x:v>67</x:v>
      </x:c>
      <x:c r="J11" s="4" t="s">
        <x:v>86</x:v>
      </x:c>
      <x:c r="K11" s="16">
        <x:v>3</x:v>
      </x:c>
      <x:c r="L11" s="16" t="s">
        <x:v>87</x:v>
      </x:c>
      <x:c r="M11" s="16">
        <x:v>1</x:v>
      </x:c>
      <x:c r="N11" s="16">
        <x:v>1</x:v>
      </x:c>
      <x:c r="O11" s="16">
        <x:f t="shared" si="0"/>
        <x:v>1</x:v>
      </x:c>
      <x:c r="P11" s="16">
        <x:f t="shared" si="1"/>
        <x:v>3</x:v>
      </x:c>
      <x:c r="Q11" s="16">
        <x:v>-1</x:v>
      </x:c>
      <x:c r="R11" s="16">
        <x:v>0</x:v>
      </x:c>
      <x:c r="S11" s="16">
        <x:v>0</x:v>
      </x:c>
      <x:c r="T11" s="16">
        <x:v>0</x:v>
      </x:c>
      <x:c r="U11" s="16">
        <x:f t="shared" si="2"/>
        <x:v>-3</x:v>
      </x:c>
      <x:c r="V11" s="16">
        <x:f t="shared" si="3"/>
        <x:v>0</x:v>
      </x:c>
      <x:c r="W11" s="16">
        <x:f t="shared" si="4"/>
        <x:v>0</x:v>
      </x:c>
      <x:c r="X11" s="16">
        <x:f t="shared" si="5"/>
        <x:v>0</x:v>
      </x:c>
    </x:row>
    <x:row r="12" ht="28.5" customHeight="1">
      <x:c r="A12" s="4" t="s">
        <x:v>90</x:v>
      </x:c>
      <x:c r="B12" s="4" t="s">
        <x:v>91</x:v>
      </x:c>
      <x:c r="C12" s="4" t="s">
        <x:v>9</x:v>
      </x:c>
      <x:c r="D12" s="21" t="s">
        <x:v>23</x:v>
      </x:c>
      <x:c r="E12" s="4" t="s">
        <x:v>84</x:v>
      </x:c>
      <x:c r="F12" s="4" t="s">
        <x:v>64</x:v>
      </x:c>
      <x:c r="G12" s="4" t="s">
        <x:v>65</x:v>
      </x:c>
      <x:c r="H12" s="4" t="s">
        <x:v>85</x:v>
      </x:c>
      <x:c r="I12" s="4" t="s">
        <x:v>67</x:v>
      </x:c>
      <x:c r="J12" s="4" t="s">
        <x:v>86</x:v>
      </x:c>
      <x:c r="K12" s="16">
        <x:v>3</x:v>
      </x:c>
      <x:c r="L12" s="16" t="s">
        <x:v>87</x:v>
      </x:c>
      <x:c r="M12" s="16">
        <x:v>1</x:v>
      </x:c>
      <x:c r="N12" s="16">
        <x:v>1</x:v>
      </x:c>
      <x:c r="O12" s="16">
        <x:f t="shared" si="0"/>
        <x:v>1</x:v>
      </x:c>
      <x:c r="P12" s="16">
        <x:f t="shared" si="1"/>
        <x:v>3</x:v>
      </x:c>
      <x:c r="Q12" s="16">
        <x:v>-1</x:v>
      </x:c>
      <x:c r="R12" s="16">
        <x:v>0</x:v>
      </x:c>
      <x:c r="S12" s="16">
        <x:v>0</x:v>
      </x:c>
      <x:c r="T12" s="16">
        <x:v>0</x:v>
      </x:c>
      <x:c r="U12" s="16">
        <x:f t="shared" si="2"/>
        <x:v>-3</x:v>
      </x:c>
      <x:c r="V12" s="16">
        <x:f t="shared" si="3"/>
        <x:v>0</x:v>
      </x:c>
      <x:c r="W12" s="16">
        <x:f t="shared" si="4"/>
        <x:v>0</x:v>
      </x:c>
      <x:c r="X12" s="16">
        <x:f t="shared" si="5"/>
        <x:v>0</x:v>
      </x:c>
    </x:row>
    <x:row r="13" ht="28.5" customHeight="1">
      <x:c r="A13" s="4" t="s">
        <x:v>92</x:v>
      </x:c>
      <x:c r="B13" s="4" t="s">
        <x:v>93</x:v>
      </x:c>
      <x:c r="C13" s="4" t="s">
        <x:v>9</x:v>
      </x:c>
      <x:c r="D13" s="15" t="s">
        <x:v>24</x:v>
      </x:c>
      <x:c r="E13" s="4" t="s">
        <x:v>84</x:v>
      </x:c>
      <x:c r="F13" s="4" t="s">
        <x:v>64</x:v>
      </x:c>
      <x:c r="G13" s="4" t="s">
        <x:v>65</x:v>
      </x:c>
      <x:c r="H13" s="4" t="s">
        <x:v>94</x:v>
      </x:c>
      <x:c r="I13" s="4" t="s">
        <x:v>67</x:v>
      </x:c>
      <x:c r="J13" s="4" t="s">
        <x:v>95</x:v>
      </x:c>
      <x:c r="K13" s="16">
        <x:v>2</x:v>
      </x:c>
      <x:c r="L13" s="16" t="s">
        <x:v>87</x:v>
      </x:c>
      <x:c r="M13" s="16">
        <x:v>2</x:v>
      </x:c>
      <x:c r="N13" s="16">
        <x:v>1</x:v>
      </x:c>
      <x:c r="O13" s="16">
        <x:f t="shared" si="0"/>
        <x:v>2</x:v>
      </x:c>
      <x:c r="P13" s="16">
        <x:f t="shared" si="1"/>
        <x:v>4</x:v>
      </x:c>
      <x:c r="Q13" s="16">
        <x:v>-2</x:v>
      </x:c>
      <x:c r="R13" s="16">
        <x:v>0</x:v>
      </x:c>
      <x:c r="S13" s="16">
        <x:v>0</x:v>
      </x:c>
      <x:c r="T13" s="16">
        <x:v>0</x:v>
      </x:c>
      <x:c r="U13" s="16">
        <x:f t="shared" si="2"/>
        <x:v>-4</x:v>
      </x:c>
      <x:c r="V13" s="16">
        <x:f t="shared" si="3"/>
        <x:v>0</x:v>
      </x:c>
      <x:c r="W13" s="16">
        <x:f t="shared" si="4"/>
        <x:v>0</x:v>
      </x:c>
      <x:c r="X13" s="16">
        <x:f t="shared" si="5"/>
        <x:v>0</x:v>
      </x:c>
    </x:row>
    <x:row r="14" ht="28.5" customHeight="1">
      <x:c r="A14" s="4" t="s">
        <x:v>96</x:v>
      </x:c>
      <x:c r="B14" s="4" t="s">
        <x:v>97</x:v>
      </x:c>
      <x:c r="C14" s="4" t="s">
        <x:v>9</x:v>
      </x:c>
      <x:c r="D14" s="17" t="s">
        <x:v>26</x:v>
      </x:c>
      <x:c r="E14" s="4" t="s">
        <x:v>84</x:v>
      </x:c>
      <x:c r="F14" s="4" t="s">
        <x:v>64</x:v>
      </x:c>
      <x:c r="G14" s="4" t="s">
        <x:v>65</x:v>
      </x:c>
      <x:c r="H14" s="4" t="s">
        <x:v>98</x:v>
      </x:c>
      <x:c r="I14" s="4" t="s">
        <x:v>67</x:v>
      </x:c>
      <x:c r="J14" s="4" t="s">
        <x:v>99</x:v>
      </x:c>
      <x:c r="K14" s="16">
        <x:v>1</x:v>
      </x:c>
      <x:c r="L14" s="16" t="s">
        <x:v>87</x:v>
      </x:c>
      <x:c r="M14" s="16">
        <x:v>3</x:v>
      </x:c>
      <x:c r="N14" s="16">
        <x:v>1</x:v>
      </x:c>
      <x:c r="O14" s="16">
        <x:f t="shared" si="0"/>
        <x:v>3</x:v>
      </x:c>
      <x:c r="P14" s="16">
        <x:f t="shared" si="1"/>
        <x:v>3</x:v>
      </x:c>
      <x:c r="Q14" s="16">
        <x:v>-3</x:v>
      </x:c>
      <x:c r="R14" s="16">
        <x:v>0</x:v>
      </x:c>
      <x:c r="S14" s="16">
        <x:v>0</x:v>
      </x:c>
      <x:c r="T14" s="16">
        <x:v>0</x:v>
      </x:c>
      <x:c r="U14" s="16">
        <x:f t="shared" si="2"/>
        <x:v>-3</x:v>
      </x:c>
      <x:c r="V14" s="16">
        <x:f t="shared" si="3"/>
        <x:v>0</x:v>
      </x:c>
      <x:c r="W14" s="16">
        <x:f t="shared" si="4"/>
        <x:v>0</x:v>
      </x:c>
      <x:c r="X14" s="16">
        <x:f t="shared" si="5"/>
        <x:v>0</x:v>
      </x:c>
    </x:row>
    <x:row r="15" ht="28.5" customHeight="1">
      <x:c r="A15" s="4" t="s">
        <x:v>100</x:v>
      </x:c>
      <x:c r="B15" s="4" t="s">
        <x:v>101</x:v>
      </x:c>
      <x:c r="C15" s="4" t="s">
        <x:v>9</x:v>
      </x:c>
      <x:c r="D15" s="21" t="s">
        <x:v>23</x:v>
      </x:c>
      <x:c r="E15" s="4" t="s">
        <x:v>63</x:v>
      </x:c>
      <x:c r="F15" s="4" t="s">
        <x:v>102</x:v>
      </x:c>
      <x:c r="G15" s="4" t="s">
        <x:v>65</x:v>
      </x:c>
      <x:c r="H15" s="4" t="s">
        <x:v>103</x:v>
      </x:c>
      <x:c r="I15" s="4" t="s">
        <x:v>67</x:v>
      </x:c>
      <x:c r="J15" s="4" t="s">
        <x:v>68</x:v>
      </x:c>
      <x:c r="K15" s="16">
        <x:v>3</x:v>
      </x:c>
      <x:c r="L15" s="16" t="s">
        <x:v>69</x:v>
      </x:c>
      <x:c r="M15" s="16">
        <x:v>1</x:v>
      </x:c>
      <x:c r="N15" s="16">
        <x:v>1</x:v>
      </x:c>
      <x:c r="O15" s="16">
        <x:f t="shared" si="0"/>
        <x:v>1</x:v>
      </x:c>
      <x:c r="P15" s="16">
        <x:f t="shared" si="1"/>
        <x:v>3</x:v>
      </x:c>
      <x:c r="Q15" s="16">
        <x:v>0</x:v>
      </x:c>
      <x:c r="R15" s="16">
        <x:v>1</x:v>
      </x:c>
      <x:c r="S15" s="16">
        <x:v>0</x:v>
      </x:c>
      <x:c r="T15" s="16">
        <x:v>0</x:v>
      </x:c>
      <x:c r="U15" s="16">
        <x:f t="shared" si="2"/>
        <x:v>0</x:v>
      </x:c>
      <x:c r="V15" s="16">
        <x:f t="shared" si="3"/>
        <x:v>3</x:v>
      </x:c>
      <x:c r="W15" s="16">
        <x:f t="shared" si="4"/>
        <x:v>0</x:v>
      </x:c>
      <x:c r="X15" s="16">
        <x:f t="shared" si="5"/>
        <x:v>0</x:v>
      </x:c>
    </x:row>
    <x:row r="16" ht="28.5" customHeight="1">
      <x:c r="A16" s="4" t="s">
        <x:v>104</x:v>
      </x:c>
      <x:c r="B16" s="4" t="s">
        <x:v>105</x:v>
      </x:c>
      <x:c r="C16" s="4" t="s">
        <x:v>9</x:v>
      </x:c>
      <x:c r="D16" s="21" t="s">
        <x:v>23</x:v>
      </x:c>
      <x:c r="E16" s="4" t="s">
        <x:v>63</x:v>
      </x:c>
      <x:c r="F16" s="4" t="s">
        <x:v>102</x:v>
      </x:c>
      <x:c r="G16" s="4" t="s">
        <x:v>65</x:v>
      </x:c>
      <x:c r="H16" s="4" t="s">
        <x:v>103</x:v>
      </x:c>
      <x:c r="I16" s="4" t="s">
        <x:v>67</x:v>
      </x:c>
      <x:c r="J16" s="4" t="s">
        <x:v>68</x:v>
      </x:c>
      <x:c r="K16" s="16">
        <x:v>3</x:v>
      </x:c>
      <x:c r="L16" s="16" t="s">
        <x:v>69</x:v>
      </x:c>
      <x:c r="M16" s="16">
        <x:v>1</x:v>
      </x:c>
      <x:c r="N16" s="16">
        <x:v>1</x:v>
      </x:c>
      <x:c r="O16" s="16">
        <x:f t="shared" si="0"/>
        <x:v>1</x:v>
      </x:c>
      <x:c r="P16" s="16">
        <x:f t="shared" si="1"/>
        <x:v>3</x:v>
      </x:c>
      <x:c r="Q16" s="16">
        <x:v>0</x:v>
      </x:c>
      <x:c r="R16" s="16">
        <x:v>1</x:v>
      </x:c>
      <x:c r="S16" s="16">
        <x:v>0</x:v>
      </x:c>
      <x:c r="T16" s="16">
        <x:v>0</x:v>
      </x:c>
      <x:c r="U16" s="16">
        <x:f t="shared" si="2"/>
        <x:v>0</x:v>
      </x:c>
      <x:c r="V16" s="16">
        <x:f t="shared" si="3"/>
        <x:v>3</x:v>
      </x:c>
      <x:c r="W16" s="16">
        <x:f t="shared" si="4"/>
        <x:v>0</x:v>
      </x:c>
      <x:c r="X16" s="16">
        <x:f t="shared" si="5"/>
        <x:v>0</x:v>
      </x:c>
    </x:row>
    <x:row r="17" ht="28.5" customHeight="1">
      <x:c r="A17" s="4" t="s">
        <x:v>106</x:v>
      </x:c>
      <x:c r="B17" s="4" t="s">
        <x:v>107</x:v>
      </x:c>
      <x:c r="C17" s="4" t="s">
        <x:v>9</x:v>
      </x:c>
      <x:c r="D17" s="21" t="s">
        <x:v>23</x:v>
      </x:c>
      <x:c r="E17" s="4" t="s">
        <x:v>63</x:v>
      </x:c>
      <x:c r="F17" s="4" t="s">
        <x:v>102</x:v>
      </x:c>
      <x:c r="G17" s="4" t="s">
        <x:v>65</x:v>
      </x:c>
      <x:c r="H17" s="4" t="s">
        <x:v>103</x:v>
      </x:c>
      <x:c r="I17" s="4" t="s">
        <x:v>67</x:v>
      </x:c>
      <x:c r="J17" s="4" t="s">
        <x:v>68</x:v>
      </x:c>
      <x:c r="K17" s="16">
        <x:v>3</x:v>
      </x:c>
      <x:c r="L17" s="16" t="s">
        <x:v>69</x:v>
      </x:c>
      <x:c r="M17" s="16">
        <x:v>1</x:v>
      </x:c>
      <x:c r="N17" s="16">
        <x:v>1</x:v>
      </x:c>
      <x:c r="O17" s="16">
        <x:f t="shared" si="0"/>
        <x:v>1</x:v>
      </x:c>
      <x:c r="P17" s="16">
        <x:f t="shared" si="1"/>
        <x:v>3</x:v>
      </x:c>
      <x:c r="Q17" s="16">
        <x:v>0</x:v>
      </x:c>
      <x:c r="R17" s="16">
        <x:v>1</x:v>
      </x:c>
      <x:c r="S17" s="16">
        <x:v>0</x:v>
      </x:c>
      <x:c r="T17" s="16">
        <x:v>0</x:v>
      </x:c>
      <x:c r="U17" s="16">
        <x:f t="shared" si="2"/>
        <x:v>0</x:v>
      </x:c>
      <x:c r="V17" s="16">
        <x:f t="shared" si="3"/>
        <x:v>3</x:v>
      </x:c>
      <x:c r="W17" s="16">
        <x:f t="shared" si="4"/>
        <x:v>0</x:v>
      </x:c>
      <x:c r="X17" s="16">
        <x:f t="shared" si="5"/>
        <x:v>0</x:v>
      </x:c>
    </x:row>
    <x:row r="18" ht="28.5" customHeight="1">
      <x:c r="A18" s="4" t="s">
        <x:v>108</x:v>
      </x:c>
      <x:c r="B18" s="4" t="s">
        <x:v>109</x:v>
      </x:c>
      <x:c r="C18" s="4" t="s">
        <x:v>9</x:v>
      </x:c>
      <x:c r="D18" s="15" t="s">
        <x:v>24</x:v>
      </x:c>
      <x:c r="E18" s="4" t="s">
        <x:v>63</x:v>
      </x:c>
      <x:c r="F18" s="4" t="s">
        <x:v>102</x:v>
      </x:c>
      <x:c r="G18" s="4" t="s">
        <x:v>65</x:v>
      </x:c>
      <x:c r="H18" s="4" t="s">
        <x:v>110</x:v>
      </x:c>
      <x:c r="I18" s="4" t="s">
        <x:v>67</x:v>
      </x:c>
      <x:c r="J18" s="4" t="s">
        <x:v>77</x:v>
      </x:c>
      <x:c r="K18" s="16">
        <x:v>2</x:v>
      </x:c>
      <x:c r="L18" s="16" t="s">
        <x:v>69</x:v>
      </x:c>
      <x:c r="M18" s="16">
        <x:v>2</x:v>
      </x:c>
      <x:c r="N18" s="16">
        <x:v>1</x:v>
      </x:c>
      <x:c r="O18" s="16">
        <x:f t="shared" si="0"/>
        <x:v>2</x:v>
      </x:c>
      <x:c r="P18" s="16">
        <x:f t="shared" si="1"/>
        <x:v>4</x:v>
      </x:c>
      <x:c r="Q18" s="16">
        <x:v>0</x:v>
      </x:c>
      <x:c r="R18" s="16">
        <x:v>2</x:v>
      </x:c>
      <x:c r="S18" s="16">
        <x:v>0</x:v>
      </x:c>
      <x:c r="T18" s="16">
        <x:v>0</x:v>
      </x:c>
      <x:c r="U18" s="16">
        <x:f t="shared" si="2"/>
        <x:v>0</x:v>
      </x:c>
      <x:c r="V18" s="16">
        <x:f t="shared" si="3"/>
        <x:v>4</x:v>
      </x:c>
      <x:c r="W18" s="16">
        <x:f t="shared" si="4"/>
        <x:v>0</x:v>
      </x:c>
      <x:c r="X18" s="16">
        <x:f t="shared" si="5"/>
        <x:v>0</x:v>
      </x:c>
    </x:row>
    <x:row r="19" ht="28.5" customHeight="1">
      <x:c r="A19" s="4" t="s">
        <x:v>111</x:v>
      </x:c>
      <x:c r="B19" s="4" t="s">
        <x:v>112</x:v>
      </x:c>
      <x:c r="C19" s="4" t="s">
        <x:v>9</x:v>
      </x:c>
      <x:c r="D19" s="17" t="s">
        <x:v>26</x:v>
      </x:c>
      <x:c r="E19" s="4" t="s">
        <x:v>63</x:v>
      </x:c>
      <x:c r="F19" s="4" t="s">
        <x:v>102</x:v>
      </x:c>
      <x:c r="G19" s="4" t="s">
        <x:v>65</x:v>
      </x:c>
      <x:c r="H19" s="4" t="s">
        <x:v>113</x:v>
      </x:c>
      <x:c r="I19" s="4" t="s">
        <x:v>67</x:v>
      </x:c>
      <x:c r="J19" s="4" t="s">
        <x:v>81</x:v>
      </x:c>
      <x:c r="K19" s="16">
        <x:v>1</x:v>
      </x:c>
      <x:c r="L19" s="16" t="s">
        <x:v>69</x:v>
      </x:c>
      <x:c r="M19" s="16">
        <x:v>3</x:v>
      </x:c>
      <x:c r="N19" s="16">
        <x:v>1</x:v>
      </x:c>
      <x:c r="O19" s="16">
        <x:f t="shared" si="0"/>
        <x:v>3</x:v>
      </x:c>
      <x:c r="P19" s="16">
        <x:f t="shared" si="1"/>
        <x:v>3</x:v>
      </x:c>
      <x:c r="Q19" s="16">
        <x:v>0</x:v>
      </x:c>
      <x:c r="R19" s="16">
        <x:v>3</x:v>
      </x:c>
      <x:c r="S19" s="16">
        <x:v>0</x:v>
      </x:c>
      <x:c r="T19" s="16">
        <x:v>0</x:v>
      </x:c>
      <x:c r="U19" s="16">
        <x:f t="shared" si="2"/>
        <x:v>0</x:v>
      </x:c>
      <x:c r="V19" s="16">
        <x:f t="shared" si="3"/>
        <x:v>3</x:v>
      </x:c>
      <x:c r="W19" s="16">
        <x:f t="shared" si="4"/>
        <x:v>0</x:v>
      </x:c>
      <x:c r="X19" s="16">
        <x:f t="shared" si="5"/>
        <x:v>0</x:v>
      </x:c>
    </x:row>
    <x:row r="20" ht="28.5" customHeight="1">
      <x:c r="A20" s="4" t="s">
        <x:v>114</x:v>
      </x:c>
      <x:c r="B20" s="4" t="s">
        <x:v>115</x:v>
      </x:c>
      <x:c r="C20" s="4" t="s">
        <x:v>9</x:v>
      </x:c>
      <x:c r="D20" s="21" t="s">
        <x:v>23</x:v>
      </x:c>
      <x:c r="E20" s="4" t="s">
        <x:v>84</x:v>
      </x:c>
      <x:c r="F20" s="4" t="s">
        <x:v>102</x:v>
      </x:c>
      <x:c r="G20" s="4" t="s">
        <x:v>65</x:v>
      </x:c>
      <x:c r="H20" s="4" t="s">
        <x:v>116</x:v>
      </x:c>
      <x:c r="I20" s="4" t="s">
        <x:v>67</x:v>
      </x:c>
      <x:c r="J20" s="4" t="s">
        <x:v>86</x:v>
      </x:c>
      <x:c r="K20" s="16">
        <x:v>3</x:v>
      </x:c>
      <x:c r="L20" s="16" t="s">
        <x:v>87</x:v>
      </x:c>
      <x:c r="M20" s="16">
        <x:v>1</x:v>
      </x:c>
      <x:c r="N20" s="16">
        <x:v>1</x:v>
      </x:c>
      <x:c r="O20" s="16">
        <x:f t="shared" si="0"/>
        <x:v>1</x:v>
      </x:c>
      <x:c r="P20" s="16">
        <x:f t="shared" si="1"/>
        <x:v>3</x:v>
      </x:c>
      <x:c r="Q20" s="16">
        <x:v>0</x:v>
      </x:c>
      <x:c r="R20" s="16">
        <x:v>-1</x:v>
      </x:c>
      <x:c r="S20" s="16">
        <x:v>0</x:v>
      </x:c>
      <x:c r="T20" s="16">
        <x:v>0</x:v>
      </x:c>
      <x:c r="U20" s="16">
        <x:f t="shared" si="2"/>
        <x:v>0</x:v>
      </x:c>
      <x:c r="V20" s="16">
        <x:f t="shared" si="3"/>
        <x:v>-3</x:v>
      </x:c>
      <x:c r="W20" s="16">
        <x:f t="shared" si="4"/>
        <x:v>0</x:v>
      </x:c>
      <x:c r="X20" s="16">
        <x:f t="shared" si="5"/>
        <x:v>0</x:v>
      </x:c>
    </x:row>
    <x:row r="21" ht="28.5" customHeight="1">
      <x:c r="A21" s="4" t="s">
        <x:v>117</x:v>
      </x:c>
      <x:c r="B21" s="4" t="s">
        <x:v>118</x:v>
      </x:c>
      <x:c r="C21" s="4" t="s">
        <x:v>9</x:v>
      </x:c>
      <x:c r="D21" s="21" t="s">
        <x:v>23</x:v>
      </x:c>
      <x:c r="E21" s="4" t="s">
        <x:v>84</x:v>
      </x:c>
      <x:c r="F21" s="4" t="s">
        <x:v>102</x:v>
      </x:c>
      <x:c r="G21" s="4" t="s">
        <x:v>65</x:v>
      </x:c>
      <x:c r="H21" s="4" t="s">
        <x:v>116</x:v>
      </x:c>
      <x:c r="I21" s="4" t="s">
        <x:v>67</x:v>
      </x:c>
      <x:c r="J21" s="4" t="s">
        <x:v>86</x:v>
      </x:c>
      <x:c r="K21" s="16">
        <x:v>3</x:v>
      </x:c>
      <x:c r="L21" s="16" t="s">
        <x:v>87</x:v>
      </x:c>
      <x:c r="M21" s="16">
        <x:v>1</x:v>
      </x:c>
      <x:c r="N21" s="16">
        <x:v>1</x:v>
      </x:c>
      <x:c r="O21" s="16">
        <x:f t="shared" si="0"/>
        <x:v>1</x:v>
      </x:c>
      <x:c r="P21" s="16">
        <x:f t="shared" si="1"/>
        <x:v>3</x:v>
      </x:c>
      <x:c r="Q21" s="16">
        <x:v>0</x:v>
      </x:c>
      <x:c r="R21" s="16">
        <x:v>-1</x:v>
      </x:c>
      <x:c r="S21" s="16">
        <x:v>0</x:v>
      </x:c>
      <x:c r="T21" s="16">
        <x:v>0</x:v>
      </x:c>
      <x:c r="U21" s="16">
        <x:f t="shared" si="2"/>
        <x:v>0</x:v>
      </x:c>
      <x:c r="V21" s="16">
        <x:f t="shared" si="3"/>
        <x:v>-3</x:v>
      </x:c>
      <x:c r="W21" s="16">
        <x:f t="shared" si="4"/>
        <x:v>0</x:v>
      </x:c>
      <x:c r="X21" s="16">
        <x:f t="shared" si="5"/>
        <x:v>0</x:v>
      </x:c>
    </x:row>
    <x:row r="22" ht="28.5" customHeight="1">
      <x:c r="A22" s="4" t="s">
        <x:v>119</x:v>
      </x:c>
      <x:c r="B22" s="4" t="s">
        <x:v>120</x:v>
      </x:c>
      <x:c r="C22" s="4" t="s">
        <x:v>9</x:v>
      </x:c>
      <x:c r="D22" s="21" t="s">
        <x:v>23</x:v>
      </x:c>
      <x:c r="E22" s="4" t="s">
        <x:v>84</x:v>
      </x:c>
      <x:c r="F22" s="4" t="s">
        <x:v>102</x:v>
      </x:c>
      <x:c r="G22" s="4" t="s">
        <x:v>65</x:v>
      </x:c>
      <x:c r="H22" s="4" t="s">
        <x:v>116</x:v>
      </x:c>
      <x:c r="I22" s="4" t="s">
        <x:v>67</x:v>
      </x:c>
      <x:c r="J22" s="4" t="s">
        <x:v>86</x:v>
      </x:c>
      <x:c r="K22" s="16">
        <x:v>3</x:v>
      </x:c>
      <x:c r="L22" s="16" t="s">
        <x:v>87</x:v>
      </x:c>
      <x:c r="M22" s="16">
        <x:v>1</x:v>
      </x:c>
      <x:c r="N22" s="16">
        <x:v>1</x:v>
      </x:c>
      <x:c r="O22" s="16">
        <x:f t="shared" si="0"/>
        <x:v>1</x:v>
      </x:c>
      <x:c r="P22" s="16">
        <x:f t="shared" si="1"/>
        <x:v>3</x:v>
      </x:c>
      <x:c r="Q22" s="16">
        <x:v>0</x:v>
      </x:c>
      <x:c r="R22" s="16">
        <x:v>-1</x:v>
      </x:c>
      <x:c r="S22" s="16">
        <x:v>0</x:v>
      </x:c>
      <x:c r="T22" s="16">
        <x:v>0</x:v>
      </x:c>
      <x:c r="U22" s="16">
        <x:f t="shared" si="2"/>
        <x:v>0</x:v>
      </x:c>
      <x:c r="V22" s="16">
        <x:f t="shared" si="3"/>
        <x:v>-3</x:v>
      </x:c>
      <x:c r="W22" s="16">
        <x:f t="shared" si="4"/>
        <x:v>0</x:v>
      </x:c>
      <x:c r="X22" s="16">
        <x:f t="shared" si="5"/>
        <x:v>0</x:v>
      </x:c>
    </x:row>
    <x:row r="23" ht="28.5" customHeight="1">
      <x:c r="A23" s="4" t="s">
        <x:v>121</x:v>
      </x:c>
      <x:c r="B23" s="4" t="s">
        <x:v>122</x:v>
      </x:c>
      <x:c r="C23" s="4" t="s">
        <x:v>9</x:v>
      </x:c>
      <x:c r="D23" s="15" t="s">
        <x:v>24</x:v>
      </x:c>
      <x:c r="E23" s="4" t="s">
        <x:v>84</x:v>
      </x:c>
      <x:c r="F23" s="4" t="s">
        <x:v>102</x:v>
      </x:c>
      <x:c r="G23" s="4" t="s">
        <x:v>65</x:v>
      </x:c>
      <x:c r="H23" s="4" t="s">
        <x:v>123</x:v>
      </x:c>
      <x:c r="I23" s="4" t="s">
        <x:v>67</x:v>
      </x:c>
      <x:c r="J23" s="4" t="s">
        <x:v>95</x:v>
      </x:c>
      <x:c r="K23" s="16">
        <x:v>2</x:v>
      </x:c>
      <x:c r="L23" s="16" t="s">
        <x:v>87</x:v>
      </x:c>
      <x:c r="M23" s="16">
        <x:v>2</x:v>
      </x:c>
      <x:c r="N23" s="16">
        <x:v>1</x:v>
      </x:c>
      <x:c r="O23" s="16">
        <x:f t="shared" si="0"/>
        <x:v>2</x:v>
      </x:c>
      <x:c r="P23" s="16">
        <x:f t="shared" si="1"/>
        <x:v>4</x:v>
      </x:c>
      <x:c r="Q23" s="16">
        <x:v>0</x:v>
      </x:c>
      <x:c r="R23" s="16">
        <x:v>-2</x:v>
      </x:c>
      <x:c r="S23" s="16">
        <x:v>0</x:v>
      </x:c>
      <x:c r="T23" s="16">
        <x:v>0</x:v>
      </x:c>
      <x:c r="U23" s="16">
        <x:f t="shared" si="2"/>
        <x:v>0</x:v>
      </x:c>
      <x:c r="V23" s="16">
        <x:f t="shared" si="3"/>
        <x:v>-4</x:v>
      </x:c>
      <x:c r="W23" s="16">
        <x:f t="shared" si="4"/>
        <x:v>0</x:v>
      </x:c>
      <x:c r="X23" s="16">
        <x:f t="shared" si="5"/>
        <x:v>0</x:v>
      </x:c>
    </x:row>
    <x:row r="24" ht="28.5" customHeight="1">
      <x:c r="A24" s="4" t="s">
        <x:v>124</x:v>
      </x:c>
      <x:c r="B24" s="4" t="s">
        <x:v>125</x:v>
      </x:c>
      <x:c r="C24" s="4" t="s">
        <x:v>9</x:v>
      </x:c>
      <x:c r="D24" s="17" t="s">
        <x:v>26</x:v>
      </x:c>
      <x:c r="E24" s="4" t="s">
        <x:v>84</x:v>
      </x:c>
      <x:c r="F24" s="4" t="s">
        <x:v>102</x:v>
      </x:c>
      <x:c r="G24" s="4" t="s">
        <x:v>65</x:v>
      </x:c>
      <x:c r="H24" s="4" t="s">
        <x:v>126</x:v>
      </x:c>
      <x:c r="I24" s="4" t="s">
        <x:v>67</x:v>
      </x:c>
      <x:c r="J24" s="4" t="s">
        <x:v>99</x:v>
      </x:c>
      <x:c r="K24" s="16">
        <x:v>1</x:v>
      </x:c>
      <x:c r="L24" s="16" t="s">
        <x:v>87</x:v>
      </x:c>
      <x:c r="M24" s="16">
        <x:v>3</x:v>
      </x:c>
      <x:c r="N24" s="16">
        <x:v>1</x:v>
      </x:c>
      <x:c r="O24" s="16">
        <x:f t="shared" si="0"/>
        <x:v>3</x:v>
      </x:c>
      <x:c r="P24" s="16">
        <x:f t="shared" si="1"/>
        <x:v>3</x:v>
      </x:c>
      <x:c r="Q24" s="16">
        <x:v>0</x:v>
      </x:c>
      <x:c r="R24" s="16">
        <x:v>-3</x:v>
      </x:c>
      <x:c r="S24" s="16">
        <x:v>0</x:v>
      </x:c>
      <x:c r="T24" s="16">
        <x:v>0</x:v>
      </x:c>
      <x:c r="U24" s="16">
        <x:f t="shared" si="2"/>
        <x:v>0</x:v>
      </x:c>
      <x:c r="V24" s="16">
        <x:f t="shared" si="3"/>
        <x:v>-3</x:v>
      </x:c>
      <x:c r="W24" s="16">
        <x:f t="shared" si="4"/>
        <x:v>0</x:v>
      </x:c>
      <x:c r="X24" s="16">
        <x:f t="shared" si="5"/>
        <x:v>0</x:v>
      </x:c>
    </x:row>
    <x:row r="25" ht="28.5" customHeight="1">
      <x:c r="A25" s="4" t="s">
        <x:v>127</x:v>
      </x:c>
      <x:c r="B25" s="4" t="s">
        <x:v>128</x:v>
      </x:c>
      <x:c r="C25" s="4" t="s">
        <x:v>9</x:v>
      </x:c>
      <x:c r="D25" s="21" t="s">
        <x:v>23</x:v>
      </x:c>
      <x:c r="E25" s="4" t="s">
        <x:v>63</x:v>
      </x:c>
      <x:c r="F25" s="4" t="s">
        <x:v>129</x:v>
      </x:c>
      <x:c r="G25" s="4" t="s">
        <x:v>65</x:v>
      </x:c>
      <x:c r="H25" s="4" t="s">
        <x:v>130</x:v>
      </x:c>
      <x:c r="I25" s="4" t="s">
        <x:v>67</x:v>
      </x:c>
      <x:c r="J25" s="4" t="s">
        <x:v>68</x:v>
      </x:c>
      <x:c r="K25" s="16">
        <x:v>3</x:v>
      </x:c>
      <x:c r="L25" s="16" t="s">
        <x:v>69</x:v>
      </x:c>
      <x:c r="M25" s="16">
        <x:v>1</x:v>
      </x:c>
      <x:c r="N25" s="16">
        <x:v>1</x:v>
      </x:c>
      <x:c r="O25" s="16">
        <x:f t="shared" si="0"/>
        <x:v>1</x:v>
      </x:c>
      <x:c r="P25" s="16">
        <x:f t="shared" si="1"/>
        <x:v>3</x:v>
      </x:c>
      <x:c r="Q25" s="16">
        <x:v>0</x:v>
      </x:c>
      <x:c r="R25" s="16">
        <x:v>0</x:v>
      </x:c>
      <x:c r="S25" s="16">
        <x:v>1</x:v>
      </x:c>
      <x:c r="T25" s="16">
        <x:v>0</x:v>
      </x:c>
      <x:c r="U25" s="16">
        <x:f t="shared" si="2"/>
        <x:v>0</x:v>
      </x:c>
      <x:c r="V25" s="16">
        <x:f t="shared" si="3"/>
        <x:v>0</x:v>
      </x:c>
      <x:c r="W25" s="16">
        <x:f t="shared" si="4"/>
        <x:v>3</x:v>
      </x:c>
      <x:c r="X25" s="16">
        <x:f t="shared" si="5"/>
        <x:v>0</x:v>
      </x:c>
    </x:row>
    <x:row r="26" ht="28.5" customHeight="1">
      <x:c r="A26" s="4" t="s">
        <x:v>131</x:v>
      </x:c>
      <x:c r="B26" s="4" t="s">
        <x:v>132</x:v>
      </x:c>
      <x:c r="C26" s="4" t="s">
        <x:v>9</x:v>
      </x:c>
      <x:c r="D26" s="21" t="s">
        <x:v>23</x:v>
      </x:c>
      <x:c r="E26" s="4" t="s">
        <x:v>63</x:v>
      </x:c>
      <x:c r="F26" s="4" t="s">
        <x:v>129</x:v>
      </x:c>
      <x:c r="G26" s="4" t="s">
        <x:v>65</x:v>
      </x:c>
      <x:c r="H26" s="4" t="s">
        <x:v>130</x:v>
      </x:c>
      <x:c r="I26" s="4" t="s">
        <x:v>67</x:v>
      </x:c>
      <x:c r="J26" s="4" t="s">
        <x:v>68</x:v>
      </x:c>
      <x:c r="K26" s="16">
        <x:v>3</x:v>
      </x:c>
      <x:c r="L26" s="16" t="s">
        <x:v>69</x:v>
      </x:c>
      <x:c r="M26" s="16">
        <x:v>1</x:v>
      </x:c>
      <x:c r="N26" s="16">
        <x:v>1</x:v>
      </x:c>
      <x:c r="O26" s="16">
        <x:f t="shared" si="0"/>
        <x:v>1</x:v>
      </x:c>
      <x:c r="P26" s="16">
        <x:f t="shared" si="1"/>
        <x:v>3</x:v>
      </x:c>
      <x:c r="Q26" s="16">
        <x:v>0</x:v>
      </x:c>
      <x:c r="R26" s="16">
        <x:v>0</x:v>
      </x:c>
      <x:c r="S26" s="16">
        <x:v>1</x:v>
      </x:c>
      <x:c r="T26" s="16">
        <x:v>0</x:v>
      </x:c>
      <x:c r="U26" s="16">
        <x:f t="shared" si="2"/>
        <x:v>0</x:v>
      </x:c>
      <x:c r="V26" s="16">
        <x:f t="shared" si="3"/>
        <x:v>0</x:v>
      </x:c>
      <x:c r="W26" s="16">
        <x:f t="shared" si="4"/>
        <x:v>3</x:v>
      </x:c>
      <x:c r="X26" s="16">
        <x:f t="shared" si="5"/>
        <x:v>0</x:v>
      </x:c>
    </x:row>
    <x:row r="27" ht="28.5" customHeight="1">
      <x:c r="A27" s="4" t="s">
        <x:v>133</x:v>
      </x:c>
      <x:c r="B27" s="4" t="s">
        <x:v>134</x:v>
      </x:c>
      <x:c r="C27" s="4" t="s">
        <x:v>9</x:v>
      </x:c>
      <x:c r="D27" s="21" t="s">
        <x:v>23</x:v>
      </x:c>
      <x:c r="E27" s="4" t="s">
        <x:v>63</x:v>
      </x:c>
      <x:c r="F27" s="4" t="s">
        <x:v>129</x:v>
      </x:c>
      <x:c r="G27" s="4" t="s">
        <x:v>65</x:v>
      </x:c>
      <x:c r="H27" s="4" t="s">
        <x:v>130</x:v>
      </x:c>
      <x:c r="I27" s="4" t="s">
        <x:v>67</x:v>
      </x:c>
      <x:c r="J27" s="4" t="s">
        <x:v>68</x:v>
      </x:c>
      <x:c r="K27" s="16">
        <x:v>3</x:v>
      </x:c>
      <x:c r="L27" s="16" t="s">
        <x:v>69</x:v>
      </x:c>
      <x:c r="M27" s="16">
        <x:v>1</x:v>
      </x:c>
      <x:c r="N27" s="16">
        <x:v>1</x:v>
      </x:c>
      <x:c r="O27" s="16">
        <x:f t="shared" si="0"/>
        <x:v>1</x:v>
      </x:c>
      <x:c r="P27" s="16">
        <x:f t="shared" si="1"/>
        <x:v>3</x:v>
      </x:c>
      <x:c r="Q27" s="16">
        <x:v>0</x:v>
      </x:c>
      <x:c r="R27" s="16">
        <x:v>0</x:v>
      </x:c>
      <x:c r="S27" s="16">
        <x:v>1</x:v>
      </x:c>
      <x:c r="T27" s="16">
        <x:v>0</x:v>
      </x:c>
      <x:c r="U27" s="16">
        <x:f t="shared" si="2"/>
        <x:v>0</x:v>
      </x:c>
      <x:c r="V27" s="16">
        <x:f t="shared" si="3"/>
        <x:v>0</x:v>
      </x:c>
      <x:c r="W27" s="16">
        <x:f t="shared" si="4"/>
        <x:v>3</x:v>
      </x:c>
      <x:c r="X27" s="16">
        <x:f t="shared" si="5"/>
        <x:v>0</x:v>
      </x:c>
    </x:row>
    <x:row r="28" ht="28.5" customHeight="1">
      <x:c r="A28" s="4" t="s">
        <x:v>135</x:v>
      </x:c>
      <x:c r="B28" s="4" t="s">
        <x:v>136</x:v>
      </x:c>
      <x:c r="C28" s="4" t="s">
        <x:v>9</x:v>
      </x:c>
      <x:c r="D28" s="15" t="s">
        <x:v>24</x:v>
      </x:c>
      <x:c r="E28" s="4" t="s">
        <x:v>63</x:v>
      </x:c>
      <x:c r="F28" s="4" t="s">
        <x:v>129</x:v>
      </x:c>
      <x:c r="G28" s="4" t="s">
        <x:v>65</x:v>
      </x:c>
      <x:c r="H28" s="4" t="s">
        <x:v>137</x:v>
      </x:c>
      <x:c r="I28" s="4" t="s">
        <x:v>67</x:v>
      </x:c>
      <x:c r="J28" s="4" t="s">
        <x:v>77</x:v>
      </x:c>
      <x:c r="K28" s="16">
        <x:v>2</x:v>
      </x:c>
      <x:c r="L28" s="16" t="s">
        <x:v>69</x:v>
      </x:c>
      <x:c r="M28" s="16">
        <x:v>2</x:v>
      </x:c>
      <x:c r="N28" s="16">
        <x:v>1</x:v>
      </x:c>
      <x:c r="O28" s="16">
        <x:f t="shared" si="0"/>
        <x:v>2</x:v>
      </x:c>
      <x:c r="P28" s="16">
        <x:f t="shared" si="1"/>
        <x:v>4</x:v>
      </x:c>
      <x:c r="Q28" s="16">
        <x:v>0</x:v>
      </x:c>
      <x:c r="R28" s="16">
        <x:v>0</x:v>
      </x:c>
      <x:c r="S28" s="16">
        <x:v>2</x:v>
      </x:c>
      <x:c r="T28" s="16">
        <x:v>0</x:v>
      </x:c>
      <x:c r="U28" s="16">
        <x:f t="shared" si="2"/>
        <x:v>0</x:v>
      </x:c>
      <x:c r="V28" s="16">
        <x:f t="shared" si="3"/>
        <x:v>0</x:v>
      </x:c>
      <x:c r="W28" s="16">
        <x:f t="shared" si="4"/>
        <x:v>4</x:v>
      </x:c>
      <x:c r="X28" s="16">
        <x:f t="shared" si="5"/>
        <x:v>0</x:v>
      </x:c>
    </x:row>
    <x:row r="29" ht="28.5" customHeight="1">
      <x:c r="A29" s="4" t="s">
        <x:v>138</x:v>
      </x:c>
      <x:c r="B29" s="4" t="s">
        <x:v>139</x:v>
      </x:c>
      <x:c r="C29" s="4" t="s">
        <x:v>9</x:v>
      </x:c>
      <x:c r="D29" s="17" t="s">
        <x:v>26</x:v>
      </x:c>
      <x:c r="E29" s="4" t="s">
        <x:v>63</x:v>
      </x:c>
      <x:c r="F29" s="4" t="s">
        <x:v>129</x:v>
      </x:c>
      <x:c r="G29" s="4" t="s">
        <x:v>65</x:v>
      </x:c>
      <x:c r="H29" s="4" t="s">
        <x:v>140</x:v>
      </x:c>
      <x:c r="I29" s="4" t="s">
        <x:v>67</x:v>
      </x:c>
      <x:c r="J29" s="4" t="s">
        <x:v>81</x:v>
      </x:c>
      <x:c r="K29" s="16">
        <x:v>1</x:v>
      </x:c>
      <x:c r="L29" s="16" t="s">
        <x:v>69</x:v>
      </x:c>
      <x:c r="M29" s="16">
        <x:v>3</x:v>
      </x:c>
      <x:c r="N29" s="16">
        <x:v>1</x:v>
      </x:c>
      <x:c r="O29" s="16">
        <x:f t="shared" si="0"/>
        <x:v>3</x:v>
      </x:c>
      <x:c r="P29" s="16">
        <x:f t="shared" si="1"/>
        <x:v>3</x:v>
      </x:c>
      <x:c r="Q29" s="16">
        <x:v>0</x:v>
      </x:c>
      <x:c r="R29" s="16">
        <x:v>0</x:v>
      </x:c>
      <x:c r="S29" s="16">
        <x:v>3</x:v>
      </x:c>
      <x:c r="T29" s="16">
        <x:v>0</x:v>
      </x:c>
      <x:c r="U29" s="16">
        <x:f t="shared" si="2"/>
        <x:v>0</x:v>
      </x:c>
      <x:c r="V29" s="16">
        <x:f t="shared" si="3"/>
        <x:v>0</x:v>
      </x:c>
      <x:c r="W29" s="16">
        <x:f t="shared" si="4"/>
        <x:v>3</x:v>
      </x:c>
      <x:c r="X29" s="16">
        <x:f t="shared" si="5"/>
        <x:v>0</x:v>
      </x:c>
    </x:row>
    <x:row r="30" ht="28.5" customHeight="1">
      <x:c r="A30" s="4" t="s">
        <x:v>141</x:v>
      </x:c>
      <x:c r="B30" s="4" t="s">
        <x:v>142</x:v>
      </x:c>
      <x:c r="C30" s="4" t="s">
        <x:v>9</x:v>
      </x:c>
      <x:c r="D30" s="21" t="s">
        <x:v>23</x:v>
      </x:c>
      <x:c r="E30" s="4" t="s">
        <x:v>84</x:v>
      </x:c>
      <x:c r="F30" s="4" t="s">
        <x:v>129</x:v>
      </x:c>
      <x:c r="G30" s="4" t="s">
        <x:v>65</x:v>
      </x:c>
      <x:c r="H30" s="4" t="s">
        <x:v>143</x:v>
      </x:c>
      <x:c r="I30" s="4" t="s">
        <x:v>67</x:v>
      </x:c>
      <x:c r="J30" s="4" t="s">
        <x:v>86</x:v>
      </x:c>
      <x:c r="K30" s="16">
        <x:v>3</x:v>
      </x:c>
      <x:c r="L30" s="16" t="s">
        <x:v>87</x:v>
      </x:c>
      <x:c r="M30" s="16">
        <x:v>1</x:v>
      </x:c>
      <x:c r="N30" s="16">
        <x:v>1</x:v>
      </x:c>
      <x:c r="O30" s="16">
        <x:f t="shared" si="0"/>
        <x:v>1</x:v>
      </x:c>
      <x:c r="P30" s="16">
        <x:f t="shared" si="1"/>
        <x:v>3</x:v>
      </x:c>
      <x:c r="Q30" s="16">
        <x:v>0</x:v>
      </x:c>
      <x:c r="R30" s="16">
        <x:v>0</x:v>
      </x:c>
      <x:c r="S30" s="16">
        <x:v>-1</x:v>
      </x:c>
      <x:c r="T30" s="16">
        <x:v>0</x:v>
      </x:c>
      <x:c r="U30" s="16">
        <x:f t="shared" si="2"/>
        <x:v>0</x:v>
      </x:c>
      <x:c r="V30" s="16">
        <x:f t="shared" si="3"/>
        <x:v>0</x:v>
      </x:c>
      <x:c r="W30" s="16">
        <x:f t="shared" si="4"/>
        <x:v>-3</x:v>
      </x:c>
      <x:c r="X30" s="16">
        <x:f t="shared" si="5"/>
        <x:v>0</x:v>
      </x:c>
    </x:row>
    <x:row r="31" ht="28.5" customHeight="1">
      <x:c r="A31" s="4" t="s">
        <x:v>144</x:v>
      </x:c>
      <x:c r="B31" s="4" t="s">
        <x:v>145</x:v>
      </x:c>
      <x:c r="C31" s="4" t="s">
        <x:v>9</x:v>
      </x:c>
      <x:c r="D31" s="21" t="s">
        <x:v>23</x:v>
      </x:c>
      <x:c r="E31" s="4" t="s">
        <x:v>84</x:v>
      </x:c>
      <x:c r="F31" s="4" t="s">
        <x:v>129</x:v>
      </x:c>
      <x:c r="G31" s="4" t="s">
        <x:v>65</x:v>
      </x:c>
      <x:c r="H31" s="4" t="s">
        <x:v>143</x:v>
      </x:c>
      <x:c r="I31" s="4" t="s">
        <x:v>67</x:v>
      </x:c>
      <x:c r="J31" s="4" t="s">
        <x:v>86</x:v>
      </x:c>
      <x:c r="K31" s="16">
        <x:v>3</x:v>
      </x:c>
      <x:c r="L31" s="16" t="s">
        <x:v>87</x:v>
      </x:c>
      <x:c r="M31" s="16">
        <x:v>1</x:v>
      </x:c>
      <x:c r="N31" s="16">
        <x:v>1</x:v>
      </x:c>
      <x:c r="O31" s="16">
        <x:f t="shared" si="0"/>
        <x:v>1</x:v>
      </x:c>
      <x:c r="P31" s="16">
        <x:f t="shared" si="1"/>
        <x:v>3</x:v>
      </x:c>
      <x:c r="Q31" s="16">
        <x:v>0</x:v>
      </x:c>
      <x:c r="R31" s="16">
        <x:v>0</x:v>
      </x:c>
      <x:c r="S31" s="16">
        <x:v>-1</x:v>
      </x:c>
      <x:c r="T31" s="16">
        <x:v>0</x:v>
      </x:c>
      <x:c r="U31" s="16">
        <x:f t="shared" si="2"/>
        <x:v>0</x:v>
      </x:c>
      <x:c r="V31" s="16">
        <x:f t="shared" si="3"/>
        <x:v>0</x:v>
      </x:c>
      <x:c r="W31" s="16">
        <x:f t="shared" si="4"/>
        <x:v>-3</x:v>
      </x:c>
      <x:c r="X31" s="16">
        <x:f t="shared" si="5"/>
        <x:v>0</x:v>
      </x:c>
    </x:row>
    <x:row r="32" ht="28.5" customHeight="1">
      <x:c r="A32" s="4" t="s">
        <x:v>146</x:v>
      </x:c>
      <x:c r="B32" s="4" t="s">
        <x:v>147</x:v>
      </x:c>
      <x:c r="C32" s="4" t="s">
        <x:v>9</x:v>
      </x:c>
      <x:c r="D32" s="21" t="s">
        <x:v>23</x:v>
      </x:c>
      <x:c r="E32" s="4" t="s">
        <x:v>84</x:v>
      </x:c>
      <x:c r="F32" s="4" t="s">
        <x:v>129</x:v>
      </x:c>
      <x:c r="G32" s="4" t="s">
        <x:v>65</x:v>
      </x:c>
      <x:c r="H32" s="4" t="s">
        <x:v>143</x:v>
      </x:c>
      <x:c r="I32" s="4" t="s">
        <x:v>67</x:v>
      </x:c>
      <x:c r="J32" s="4" t="s">
        <x:v>86</x:v>
      </x:c>
      <x:c r="K32" s="16">
        <x:v>3</x:v>
      </x:c>
      <x:c r="L32" s="16" t="s">
        <x:v>87</x:v>
      </x:c>
      <x:c r="M32" s="16">
        <x:v>1</x:v>
      </x:c>
      <x:c r="N32" s="16">
        <x:v>1</x:v>
      </x:c>
      <x:c r="O32" s="16">
        <x:f t="shared" si="0"/>
        <x:v>1</x:v>
      </x:c>
      <x:c r="P32" s="16">
        <x:f t="shared" si="1"/>
        <x:v>3</x:v>
      </x:c>
      <x:c r="Q32" s="16">
        <x:v>0</x:v>
      </x:c>
      <x:c r="R32" s="16">
        <x:v>0</x:v>
      </x:c>
      <x:c r="S32" s="16">
        <x:v>-1</x:v>
      </x:c>
      <x:c r="T32" s="16">
        <x:v>0</x:v>
      </x:c>
      <x:c r="U32" s="16">
        <x:f t="shared" si="2"/>
        <x:v>0</x:v>
      </x:c>
      <x:c r="V32" s="16">
        <x:f t="shared" si="3"/>
        <x:v>0</x:v>
      </x:c>
      <x:c r="W32" s="16">
        <x:f t="shared" si="4"/>
        <x:v>-3</x:v>
      </x:c>
      <x:c r="X32" s="16">
        <x:f t="shared" si="5"/>
        <x:v>0</x:v>
      </x:c>
    </x:row>
    <x:row r="33" ht="28.5" customHeight="1">
      <x:c r="A33" s="4" t="s">
        <x:v>148</x:v>
      </x:c>
      <x:c r="B33" s="4" t="s">
        <x:v>149</x:v>
      </x:c>
      <x:c r="C33" s="4" t="s">
        <x:v>9</x:v>
      </x:c>
      <x:c r="D33" s="15" t="s">
        <x:v>24</x:v>
      </x:c>
      <x:c r="E33" s="4" t="s">
        <x:v>84</x:v>
      </x:c>
      <x:c r="F33" s="4" t="s">
        <x:v>129</x:v>
      </x:c>
      <x:c r="G33" s="4" t="s">
        <x:v>65</x:v>
      </x:c>
      <x:c r="H33" s="4" t="s">
        <x:v>150</x:v>
      </x:c>
      <x:c r="I33" s="4" t="s">
        <x:v>67</x:v>
      </x:c>
      <x:c r="J33" s="4" t="s">
        <x:v>95</x:v>
      </x:c>
      <x:c r="K33" s="16">
        <x:v>2</x:v>
      </x:c>
      <x:c r="L33" s="16" t="s">
        <x:v>87</x:v>
      </x:c>
      <x:c r="M33" s="16">
        <x:v>2</x:v>
      </x:c>
      <x:c r="N33" s="16">
        <x:v>1</x:v>
      </x:c>
      <x:c r="O33" s="16">
        <x:f t="shared" si="0"/>
        <x:v>2</x:v>
      </x:c>
      <x:c r="P33" s="16">
        <x:f t="shared" si="1"/>
        <x:v>4</x:v>
      </x:c>
      <x:c r="Q33" s="16">
        <x:v>0</x:v>
      </x:c>
      <x:c r="R33" s="16">
        <x:v>0</x:v>
      </x:c>
      <x:c r="S33" s="16">
        <x:v>-2</x:v>
      </x:c>
      <x:c r="T33" s="16">
        <x:v>0</x:v>
      </x:c>
      <x:c r="U33" s="16">
        <x:f t="shared" si="2"/>
        <x:v>0</x:v>
      </x:c>
      <x:c r="V33" s="16">
        <x:f t="shared" si="3"/>
        <x:v>0</x:v>
      </x:c>
      <x:c r="W33" s="16">
        <x:f t="shared" si="4"/>
        <x:v>-4</x:v>
      </x:c>
      <x:c r="X33" s="16">
        <x:f t="shared" si="5"/>
        <x:v>0</x:v>
      </x:c>
    </x:row>
    <x:row r="34" ht="28.5" customHeight="1">
      <x:c r="A34" s="4" t="s">
        <x:v>151</x:v>
      </x:c>
      <x:c r="B34" s="4" t="s">
        <x:v>152</x:v>
      </x:c>
      <x:c r="C34" s="4" t="s">
        <x:v>9</x:v>
      </x:c>
      <x:c r="D34" s="17" t="s">
        <x:v>26</x:v>
      </x:c>
      <x:c r="E34" s="4" t="s">
        <x:v>84</x:v>
      </x:c>
      <x:c r="F34" s="4" t="s">
        <x:v>129</x:v>
      </x:c>
      <x:c r="G34" s="4" t="s">
        <x:v>65</x:v>
      </x:c>
      <x:c r="H34" s="4" t="s">
        <x:v>153</x:v>
      </x:c>
      <x:c r="I34" s="4" t="s">
        <x:v>67</x:v>
      </x:c>
      <x:c r="J34" s="4" t="s">
        <x:v>99</x:v>
      </x:c>
      <x:c r="K34" s="16">
        <x:v>1</x:v>
      </x:c>
      <x:c r="L34" s="16" t="s">
        <x:v>87</x:v>
      </x:c>
      <x:c r="M34" s="16">
        <x:v>3</x:v>
      </x:c>
      <x:c r="N34" s="16">
        <x:v>1</x:v>
      </x:c>
      <x:c r="O34" s="16">
        <x:f t="shared" si="0"/>
        <x:v>3</x:v>
      </x:c>
      <x:c r="P34" s="16">
        <x:f t="shared" si="1"/>
        <x:v>3</x:v>
      </x:c>
      <x:c r="Q34" s="16">
        <x:v>0</x:v>
      </x:c>
      <x:c r="R34" s="16">
        <x:v>0</x:v>
      </x:c>
      <x:c r="S34" s="16">
        <x:v>-3</x:v>
      </x:c>
      <x:c r="T34" s="16">
        <x:v>0</x:v>
      </x:c>
      <x:c r="U34" s="16">
        <x:f t="shared" si="2"/>
        <x:v>0</x:v>
      </x:c>
      <x:c r="V34" s="16">
        <x:f t="shared" si="3"/>
        <x:v>0</x:v>
      </x:c>
      <x:c r="W34" s="16">
        <x:f t="shared" si="4"/>
        <x:v>-3</x:v>
      </x:c>
      <x:c r="X34" s="16">
        <x:f t="shared" si="5"/>
        <x:v>0</x:v>
      </x:c>
    </x:row>
    <x:row r="35" ht="28.5" customHeight="1">
      <x:c r="A35" s="4" t="s">
        <x:v>154</x:v>
      </x:c>
      <x:c r="B35" s="4" t="s">
        <x:v>155</x:v>
      </x:c>
      <x:c r="C35" s="4" t="s">
        <x:v>9</x:v>
      </x:c>
      <x:c r="D35" s="21" t="s">
        <x:v>23</x:v>
      </x:c>
      <x:c r="E35" s="4" t="s">
        <x:v>63</x:v>
      </x:c>
      <x:c r="F35" s="4" t="s">
        <x:v>156</x:v>
      </x:c>
      <x:c r="G35" s="4" t="s">
        <x:v>65</x:v>
      </x:c>
      <x:c r="H35" s="4" t="s">
        <x:v>157</x:v>
      </x:c>
      <x:c r="I35" s="4" t="s">
        <x:v>67</x:v>
      </x:c>
      <x:c r="J35" s="4" t="s">
        <x:v>68</x:v>
      </x:c>
      <x:c r="K35" s="16">
        <x:v>3</x:v>
      </x:c>
      <x:c r="L35" s="16" t="s">
        <x:v>69</x:v>
      </x:c>
      <x:c r="M35" s="16">
        <x:v>1</x:v>
      </x:c>
      <x:c r="N35" s="16">
        <x:v>1</x:v>
      </x:c>
      <x:c r="O35" s="16">
        <x:f t="shared" si="0"/>
        <x:v>1</x:v>
      </x:c>
      <x:c r="P35" s="16">
        <x:f t="shared" si="1"/>
        <x:v>3</x:v>
      </x:c>
      <x:c r="Q35" s="16">
        <x:v>0</x:v>
      </x:c>
      <x:c r="R35" s="16">
        <x:v>0</x:v>
      </x:c>
      <x:c r="S35" s="16">
        <x:v>0</x:v>
      </x:c>
      <x:c r="T35" s="16">
        <x:v>1</x:v>
      </x:c>
      <x:c r="U35" s="16">
        <x:f t="shared" si="2"/>
        <x:v>0</x:v>
      </x:c>
      <x:c r="V35" s="16">
        <x:f t="shared" si="3"/>
        <x:v>0</x:v>
      </x:c>
      <x:c r="W35" s="16">
        <x:f t="shared" si="4"/>
        <x:v>0</x:v>
      </x:c>
      <x:c r="X35" s="16">
        <x:f t="shared" si="5"/>
        <x:v>3</x:v>
      </x:c>
    </x:row>
    <x:row r="36" ht="28.5" customHeight="1">
      <x:c r="A36" s="4" t="s">
        <x:v>158</x:v>
      </x:c>
      <x:c r="B36" s="4" t="s">
        <x:v>159</x:v>
      </x:c>
      <x:c r="C36" s="4" t="s">
        <x:v>9</x:v>
      </x:c>
      <x:c r="D36" s="21" t="s">
        <x:v>23</x:v>
      </x:c>
      <x:c r="E36" s="4" t="s">
        <x:v>63</x:v>
      </x:c>
      <x:c r="F36" s="4" t="s">
        <x:v>156</x:v>
      </x:c>
      <x:c r="G36" s="4" t="s">
        <x:v>65</x:v>
      </x:c>
      <x:c r="H36" s="4" t="s">
        <x:v>157</x:v>
      </x:c>
      <x:c r="I36" s="4" t="s">
        <x:v>67</x:v>
      </x:c>
      <x:c r="J36" s="4" t="s">
        <x:v>68</x:v>
      </x:c>
      <x:c r="K36" s="16">
        <x:v>3</x:v>
      </x:c>
      <x:c r="L36" s="16" t="s">
        <x:v>69</x:v>
      </x:c>
      <x:c r="M36" s="16">
        <x:v>1</x:v>
      </x:c>
      <x:c r="N36" s="16">
        <x:v>1</x:v>
      </x:c>
      <x:c r="O36" s="16">
        <x:f t="shared" si="0"/>
        <x:v>1</x:v>
      </x:c>
      <x:c r="P36" s="16">
        <x:f t="shared" si="1"/>
        <x:v>3</x:v>
      </x:c>
      <x:c r="Q36" s="16">
        <x:v>0</x:v>
      </x:c>
      <x:c r="R36" s="16">
        <x:v>0</x:v>
      </x:c>
      <x:c r="S36" s="16">
        <x:v>0</x:v>
      </x:c>
      <x:c r="T36" s="16">
        <x:v>1</x:v>
      </x:c>
      <x:c r="U36" s="16">
        <x:f t="shared" si="2"/>
        <x:v>0</x:v>
      </x:c>
      <x:c r="V36" s="16">
        <x:f t="shared" si="3"/>
        <x:v>0</x:v>
      </x:c>
      <x:c r="W36" s="16">
        <x:f t="shared" si="4"/>
        <x:v>0</x:v>
      </x:c>
      <x:c r="X36" s="16">
        <x:f t="shared" si="5"/>
        <x:v>3</x:v>
      </x:c>
    </x:row>
    <x:row r="37" ht="28.5" customHeight="1">
      <x:c r="A37" s="4" t="s">
        <x:v>160</x:v>
      </x:c>
      <x:c r="B37" s="4" t="s">
        <x:v>161</x:v>
      </x:c>
      <x:c r="C37" s="4" t="s">
        <x:v>9</x:v>
      </x:c>
      <x:c r="D37" s="21" t="s">
        <x:v>23</x:v>
      </x:c>
      <x:c r="E37" s="4" t="s">
        <x:v>63</x:v>
      </x:c>
      <x:c r="F37" s="4" t="s">
        <x:v>156</x:v>
      </x:c>
      <x:c r="G37" s="4" t="s">
        <x:v>65</x:v>
      </x:c>
      <x:c r="H37" s="4" t="s">
        <x:v>157</x:v>
      </x:c>
      <x:c r="I37" s="4" t="s">
        <x:v>67</x:v>
      </x:c>
      <x:c r="J37" s="4" t="s">
        <x:v>68</x:v>
      </x:c>
      <x:c r="K37" s="16">
        <x:v>3</x:v>
      </x:c>
      <x:c r="L37" s="16" t="s">
        <x:v>69</x:v>
      </x:c>
      <x:c r="M37" s="16">
        <x:v>1</x:v>
      </x:c>
      <x:c r="N37" s="16">
        <x:v>1</x:v>
      </x:c>
      <x:c r="O37" s="16">
        <x:f t="shared" si="0"/>
        <x:v>1</x:v>
      </x:c>
      <x:c r="P37" s="16">
        <x:f t="shared" si="1"/>
        <x:v>3</x:v>
      </x:c>
      <x:c r="Q37" s="16">
        <x:v>0</x:v>
      </x:c>
      <x:c r="R37" s="16">
        <x:v>0</x:v>
      </x:c>
      <x:c r="S37" s="16">
        <x:v>0</x:v>
      </x:c>
      <x:c r="T37" s="16">
        <x:v>1</x:v>
      </x:c>
      <x:c r="U37" s="16">
        <x:f t="shared" si="2"/>
        <x:v>0</x:v>
      </x:c>
      <x:c r="V37" s="16">
        <x:f t="shared" si="3"/>
        <x:v>0</x:v>
      </x:c>
      <x:c r="W37" s="16">
        <x:f t="shared" si="4"/>
        <x:v>0</x:v>
      </x:c>
      <x:c r="X37" s="16">
        <x:f t="shared" si="5"/>
        <x:v>3</x:v>
      </x:c>
    </x:row>
    <x:row r="38" ht="28.5" customHeight="1">
      <x:c r="A38" s="4" t="s">
        <x:v>162</x:v>
      </x:c>
      <x:c r="B38" s="4" t="s">
        <x:v>163</x:v>
      </x:c>
      <x:c r="C38" s="4" t="s">
        <x:v>9</x:v>
      </x:c>
      <x:c r="D38" s="15" t="s">
        <x:v>24</x:v>
      </x:c>
      <x:c r="E38" s="4" t="s">
        <x:v>63</x:v>
      </x:c>
      <x:c r="F38" s="4" t="s">
        <x:v>156</x:v>
      </x:c>
      <x:c r="G38" s="4" t="s">
        <x:v>65</x:v>
      </x:c>
      <x:c r="H38" s="4" t="s">
        <x:v>164</x:v>
      </x:c>
      <x:c r="I38" s="4" t="s">
        <x:v>67</x:v>
      </x:c>
      <x:c r="J38" s="4" t="s">
        <x:v>77</x:v>
      </x:c>
      <x:c r="K38" s="16">
        <x:v>2</x:v>
      </x:c>
      <x:c r="L38" s="16" t="s">
        <x:v>69</x:v>
      </x:c>
      <x:c r="M38" s="16">
        <x:v>2</x:v>
      </x:c>
      <x:c r="N38" s="16">
        <x:v>1</x:v>
      </x:c>
      <x:c r="O38" s="16">
        <x:f t="shared" si="0"/>
        <x:v>2</x:v>
      </x:c>
      <x:c r="P38" s="16">
        <x:f t="shared" si="1"/>
        <x:v>4</x:v>
      </x:c>
      <x:c r="Q38" s="16">
        <x:v>0</x:v>
      </x:c>
      <x:c r="R38" s="16">
        <x:v>0</x:v>
      </x:c>
      <x:c r="S38" s="16">
        <x:v>0</x:v>
      </x:c>
      <x:c r="T38" s="16">
        <x:v>2</x:v>
      </x:c>
      <x:c r="U38" s="16">
        <x:f t="shared" si="2"/>
        <x:v>0</x:v>
      </x:c>
      <x:c r="V38" s="16">
        <x:f t="shared" si="3"/>
        <x:v>0</x:v>
      </x:c>
      <x:c r="W38" s="16">
        <x:f t="shared" si="4"/>
        <x:v>0</x:v>
      </x:c>
      <x:c r="X38" s="16">
        <x:f t="shared" si="5"/>
        <x:v>4</x:v>
      </x:c>
    </x:row>
    <x:row r="39" ht="28.5" customHeight="1">
      <x:c r="A39" s="4" t="s">
        <x:v>165</x:v>
      </x:c>
      <x:c r="B39" s="4" t="s">
        <x:v>166</x:v>
      </x:c>
      <x:c r="C39" s="4" t="s">
        <x:v>9</x:v>
      </x:c>
      <x:c r="D39" s="17" t="s">
        <x:v>26</x:v>
      </x:c>
      <x:c r="E39" s="4" t="s">
        <x:v>63</x:v>
      </x:c>
      <x:c r="F39" s="4" t="s">
        <x:v>156</x:v>
      </x:c>
      <x:c r="G39" s="4" t="s">
        <x:v>65</x:v>
      </x:c>
      <x:c r="H39" s="4" t="s">
        <x:v>167</x:v>
      </x:c>
      <x:c r="I39" s="4" t="s">
        <x:v>67</x:v>
      </x:c>
      <x:c r="J39" s="4" t="s">
        <x:v>81</x:v>
      </x:c>
      <x:c r="K39" s="16">
        <x:v>1</x:v>
      </x:c>
      <x:c r="L39" s="16" t="s">
        <x:v>69</x:v>
      </x:c>
      <x:c r="M39" s="16">
        <x:v>3</x:v>
      </x:c>
      <x:c r="N39" s="16">
        <x:v>1</x:v>
      </x:c>
      <x:c r="O39" s="16">
        <x:f t="shared" si="0"/>
        <x:v>3</x:v>
      </x:c>
      <x:c r="P39" s="16">
        <x:f t="shared" si="1"/>
        <x:v>3</x:v>
      </x:c>
      <x:c r="Q39" s="16">
        <x:v>0</x:v>
      </x:c>
      <x:c r="R39" s="16">
        <x:v>0</x:v>
      </x:c>
      <x:c r="S39" s="16">
        <x:v>0</x:v>
      </x:c>
      <x:c r="T39" s="16">
        <x:v>3</x:v>
      </x:c>
      <x:c r="U39" s="16">
        <x:f t="shared" si="2"/>
        <x:v>0</x:v>
      </x:c>
      <x:c r="V39" s="16">
        <x:f t="shared" si="3"/>
        <x:v>0</x:v>
      </x:c>
      <x:c r="W39" s="16">
        <x:f t="shared" si="4"/>
        <x:v>0</x:v>
      </x:c>
      <x:c r="X39" s="16">
        <x:f t="shared" si="5"/>
        <x:v>3</x:v>
      </x:c>
    </x:row>
    <x:row r="40" ht="28.5" customHeight="1">
      <x:c r="A40" s="4" t="s">
        <x:v>168</x:v>
      </x:c>
      <x:c r="B40" s="4" t="s">
        <x:v>169</x:v>
      </x:c>
      <x:c r="C40" s="4" t="s">
        <x:v>9</x:v>
      </x:c>
      <x:c r="D40" s="21" t="s">
        <x:v>23</x:v>
      </x:c>
      <x:c r="E40" s="4" t="s">
        <x:v>84</x:v>
      </x:c>
      <x:c r="F40" s="4" t="s">
        <x:v>156</x:v>
      </x:c>
      <x:c r="G40" s="4" t="s">
        <x:v>65</x:v>
      </x:c>
      <x:c r="H40" s="4" t="s">
        <x:v>170</x:v>
      </x:c>
      <x:c r="I40" s="4" t="s">
        <x:v>67</x:v>
      </x:c>
      <x:c r="J40" s="4" t="s">
        <x:v>86</x:v>
      </x:c>
      <x:c r="K40" s="16">
        <x:v>3</x:v>
      </x:c>
      <x:c r="L40" s="16" t="s">
        <x:v>87</x:v>
      </x:c>
      <x:c r="M40" s="16">
        <x:v>1</x:v>
      </x:c>
      <x:c r="N40" s="16">
        <x:v>1</x:v>
      </x:c>
      <x:c r="O40" s="16">
        <x:f t="shared" si="0"/>
        <x:v>1</x:v>
      </x:c>
      <x:c r="P40" s="16">
        <x:f t="shared" si="1"/>
        <x:v>3</x:v>
      </x:c>
      <x:c r="Q40" s="16">
        <x:v>0</x:v>
      </x:c>
      <x:c r="R40" s="16">
        <x:v>0</x:v>
      </x:c>
      <x:c r="S40" s="16">
        <x:v>0</x:v>
      </x:c>
      <x:c r="T40" s="16">
        <x:v>-1</x:v>
      </x:c>
      <x:c r="U40" s="16">
        <x:f t="shared" si="2"/>
        <x:v>0</x:v>
      </x:c>
      <x:c r="V40" s="16">
        <x:f t="shared" si="3"/>
        <x:v>0</x:v>
      </x:c>
      <x:c r="W40" s="16">
        <x:f t="shared" si="4"/>
        <x:v>0</x:v>
      </x:c>
      <x:c r="X40" s="16">
        <x:f t="shared" si="5"/>
        <x:v>-3</x:v>
      </x:c>
    </x:row>
    <x:row r="41" ht="28.5" customHeight="1">
      <x:c r="A41" s="4" t="s">
        <x:v>171</x:v>
      </x:c>
      <x:c r="B41" s="4" t="s">
        <x:v>172</x:v>
      </x:c>
      <x:c r="C41" s="4" t="s">
        <x:v>9</x:v>
      </x:c>
      <x:c r="D41" s="21" t="s">
        <x:v>23</x:v>
      </x:c>
      <x:c r="E41" s="4" t="s">
        <x:v>84</x:v>
      </x:c>
      <x:c r="F41" s="4" t="s">
        <x:v>156</x:v>
      </x:c>
      <x:c r="G41" s="4" t="s">
        <x:v>65</x:v>
      </x:c>
      <x:c r="H41" s="4" t="s">
        <x:v>170</x:v>
      </x:c>
      <x:c r="I41" s="4" t="s">
        <x:v>67</x:v>
      </x:c>
      <x:c r="J41" s="4" t="s">
        <x:v>86</x:v>
      </x:c>
      <x:c r="K41" s="16">
        <x:v>3</x:v>
      </x:c>
      <x:c r="L41" s="16" t="s">
        <x:v>87</x:v>
      </x:c>
      <x:c r="M41" s="16">
        <x:v>1</x:v>
      </x:c>
      <x:c r="N41" s="16">
        <x:v>1</x:v>
      </x:c>
      <x:c r="O41" s="16">
        <x:f t="shared" si="0"/>
        <x:v>1</x:v>
      </x:c>
      <x:c r="P41" s="16">
        <x:f t="shared" si="1"/>
        <x:v>3</x:v>
      </x:c>
      <x:c r="Q41" s="16">
        <x:v>0</x:v>
      </x:c>
      <x:c r="R41" s="16">
        <x:v>0</x:v>
      </x:c>
      <x:c r="S41" s="16">
        <x:v>0</x:v>
      </x:c>
      <x:c r="T41" s="16">
        <x:v>-1</x:v>
      </x:c>
      <x:c r="U41" s="16">
        <x:f t="shared" si="2"/>
        <x:v>0</x:v>
      </x:c>
      <x:c r="V41" s="16">
        <x:f t="shared" si="3"/>
        <x:v>0</x:v>
      </x:c>
      <x:c r="W41" s="16">
        <x:f t="shared" si="4"/>
        <x:v>0</x:v>
      </x:c>
      <x:c r="X41" s="16">
        <x:f t="shared" si="5"/>
        <x:v>-3</x:v>
      </x:c>
    </x:row>
    <x:row r="42" ht="28.5" customHeight="1">
      <x:c r="A42" s="4" t="s">
        <x:v>173</x:v>
      </x:c>
      <x:c r="B42" s="4" t="s">
        <x:v>174</x:v>
      </x:c>
      <x:c r="C42" s="4" t="s">
        <x:v>9</x:v>
      </x:c>
      <x:c r="D42" s="21" t="s">
        <x:v>23</x:v>
      </x:c>
      <x:c r="E42" s="4" t="s">
        <x:v>84</x:v>
      </x:c>
      <x:c r="F42" s="4" t="s">
        <x:v>156</x:v>
      </x:c>
      <x:c r="G42" s="4" t="s">
        <x:v>65</x:v>
      </x:c>
      <x:c r="H42" s="4" t="s">
        <x:v>170</x:v>
      </x:c>
      <x:c r="I42" s="4" t="s">
        <x:v>67</x:v>
      </x:c>
      <x:c r="J42" s="4" t="s">
        <x:v>86</x:v>
      </x:c>
      <x:c r="K42" s="16">
        <x:v>3</x:v>
      </x:c>
      <x:c r="L42" s="16" t="s">
        <x:v>87</x:v>
      </x:c>
      <x:c r="M42" s="16">
        <x:v>1</x:v>
      </x:c>
      <x:c r="N42" s="16">
        <x:v>1</x:v>
      </x:c>
      <x:c r="O42" s="16">
        <x:f t="shared" si="0"/>
        <x:v>1</x:v>
      </x:c>
      <x:c r="P42" s="16">
        <x:f t="shared" si="1"/>
        <x:v>3</x:v>
      </x:c>
      <x:c r="Q42" s="16">
        <x:v>0</x:v>
      </x:c>
      <x:c r="R42" s="16">
        <x:v>0</x:v>
      </x:c>
      <x:c r="S42" s="16">
        <x:v>0</x:v>
      </x:c>
      <x:c r="T42" s="16">
        <x:v>-1</x:v>
      </x:c>
      <x:c r="U42" s="16">
        <x:f t="shared" si="2"/>
        <x:v>0</x:v>
      </x:c>
      <x:c r="V42" s="16">
        <x:f t="shared" si="3"/>
        <x:v>0</x:v>
      </x:c>
      <x:c r="W42" s="16">
        <x:f t="shared" si="4"/>
        <x:v>0</x:v>
      </x:c>
      <x:c r="X42" s="16">
        <x:f t="shared" si="5"/>
        <x:v>-3</x:v>
      </x:c>
    </x:row>
    <x:row r="43" ht="28.5" customHeight="1">
      <x:c r="A43" s="4" t="s">
        <x:v>175</x:v>
      </x:c>
      <x:c r="B43" s="4" t="s">
        <x:v>176</x:v>
      </x:c>
      <x:c r="C43" s="4" t="s">
        <x:v>9</x:v>
      </x:c>
      <x:c r="D43" s="15" t="s">
        <x:v>24</x:v>
      </x:c>
      <x:c r="E43" s="4" t="s">
        <x:v>84</x:v>
      </x:c>
      <x:c r="F43" s="4" t="s">
        <x:v>156</x:v>
      </x:c>
      <x:c r="G43" s="4" t="s">
        <x:v>65</x:v>
      </x:c>
      <x:c r="H43" s="4" t="s">
        <x:v>177</x:v>
      </x:c>
      <x:c r="I43" s="4" t="s">
        <x:v>67</x:v>
      </x:c>
      <x:c r="J43" s="4" t="s">
        <x:v>95</x:v>
      </x:c>
      <x:c r="K43" s="16">
        <x:v>2</x:v>
      </x:c>
      <x:c r="L43" s="16" t="s">
        <x:v>87</x:v>
      </x:c>
      <x:c r="M43" s="16">
        <x:v>2</x:v>
      </x:c>
      <x:c r="N43" s="16">
        <x:v>1</x:v>
      </x:c>
      <x:c r="O43" s="16">
        <x:f t="shared" si="0"/>
        <x:v>2</x:v>
      </x:c>
      <x:c r="P43" s="16">
        <x:f t="shared" si="1"/>
        <x:v>4</x:v>
      </x:c>
      <x:c r="Q43" s="16">
        <x:v>0</x:v>
      </x:c>
      <x:c r="R43" s="16">
        <x:v>0</x:v>
      </x:c>
      <x:c r="S43" s="16">
        <x:v>0</x:v>
      </x:c>
      <x:c r="T43" s="16">
        <x:v>-2</x:v>
      </x:c>
      <x:c r="U43" s="16">
        <x:f t="shared" si="2"/>
        <x:v>0</x:v>
      </x:c>
      <x:c r="V43" s="16">
        <x:f t="shared" si="3"/>
        <x:v>0</x:v>
      </x:c>
      <x:c r="W43" s="16">
        <x:f t="shared" si="4"/>
        <x:v>0</x:v>
      </x:c>
      <x:c r="X43" s="16">
        <x:f t="shared" si="5"/>
        <x:v>-4</x:v>
      </x:c>
    </x:row>
    <x:row r="44" ht="28.5" customHeight="1">
      <x:c r="A44" s="4" t="s">
        <x:v>178</x:v>
      </x:c>
      <x:c r="B44" s="4" t="s">
        <x:v>179</x:v>
      </x:c>
      <x:c r="C44" s="4" t="s">
        <x:v>9</x:v>
      </x:c>
      <x:c r="D44" s="17" t="s">
        <x:v>26</x:v>
      </x:c>
      <x:c r="E44" s="4" t="s">
        <x:v>84</x:v>
      </x:c>
      <x:c r="F44" s="4" t="s">
        <x:v>156</x:v>
      </x:c>
      <x:c r="G44" s="4" t="s">
        <x:v>65</x:v>
      </x:c>
      <x:c r="H44" s="4" t="s">
        <x:v>180</x:v>
      </x:c>
      <x:c r="I44" s="4" t="s">
        <x:v>67</x:v>
      </x:c>
      <x:c r="J44" s="4" t="s">
        <x:v>99</x:v>
      </x:c>
      <x:c r="K44" s="16">
        <x:v>1</x:v>
      </x:c>
      <x:c r="L44" s="16" t="s">
        <x:v>87</x:v>
      </x:c>
      <x:c r="M44" s="16">
        <x:v>3</x:v>
      </x:c>
      <x:c r="N44" s="16">
        <x:v>1</x:v>
      </x:c>
      <x:c r="O44" s="16">
        <x:f t="shared" si="0"/>
        <x:v>3</x:v>
      </x:c>
      <x:c r="P44" s="16">
        <x:f t="shared" si="1"/>
        <x:v>3</x:v>
      </x:c>
      <x:c r="Q44" s="16">
        <x:v>0</x:v>
      </x:c>
      <x:c r="R44" s="16">
        <x:v>0</x:v>
      </x:c>
      <x:c r="S44" s="16">
        <x:v>0</x:v>
      </x:c>
      <x:c r="T44" s="16">
        <x:v>-3</x:v>
      </x:c>
      <x:c r="U44" s="16">
        <x:f t="shared" si="2"/>
        <x:v>0</x:v>
      </x:c>
      <x:c r="V44" s="16">
        <x:f t="shared" si="3"/>
        <x:v>0</x:v>
      </x:c>
      <x:c r="W44" s="16">
        <x:f t="shared" si="4"/>
        <x:v>0</x:v>
      </x:c>
      <x:c r="X44" s="16">
        <x:f t="shared" si="5"/>
        <x:v>-3</x:v>
      </x:c>
    </x:row>
    <x:row r="45" ht="28.5" customHeight="1">
      <x:c r="A45" s="4" t="s">
        <x:v>181</x:v>
      </x:c>
      <x:c r="B45" s="4" t="s">
        <x:v>182</x:v>
      </x:c>
      <x:c r="C45" s="4" t="s">
        <x:v>11</x:v>
      </x:c>
      <x:c r="D45" s="21" t="s">
        <x:v>23</x:v>
      </x:c>
      <x:c r="E45" s="4" t="s">
        <x:v>183</x:v>
      </x:c>
      <x:c r="F45" s="4" t="s">
        <x:v>184</x:v>
      </x:c>
      <x:c r="G45" s="4" t="s">
        <x:v>65</x:v>
      </x:c>
      <x:c r="H45" s="4" t="s">
        <x:v>185</x:v>
      </x:c>
      <x:c r="I45" s="4" t="s">
        <x:v>67</x:v>
      </x:c>
      <x:c r="J45" s="4" t="s">
        <x:v>186</x:v>
      </x:c>
      <x:c r="K45" s="16">
        <x:v>2</x:v>
      </x:c>
      <x:c r="L45" s="16" t="s">
        <x:v>69</x:v>
      </x:c>
      <x:c r="M45" s="16">
        <x:v>1</x:v>
      </x:c>
      <x:c r="N45" s="16">
        <x:v>1</x:v>
      </x:c>
      <x:c r="O45" s="16">
        <x:f t="shared" si="0"/>
        <x:v>1</x:v>
      </x:c>
      <x:c r="P45" s="16">
        <x:f t="shared" si="1"/>
        <x:v>2</x:v>
      </x:c>
      <x:c r="Q45" s="16">
        <x:v>0</x:v>
      </x:c>
      <x:c r="R45" s="16">
        <x:v>0</x:v>
      </x:c>
      <x:c r="S45" s="16">
        <x:v>0</x:v>
      </x:c>
      <x:c r="T45" s="16">
        <x:v>0</x:v>
      </x:c>
      <x:c r="U45" s="16">
        <x:f t="shared" si="2"/>
        <x:v>0</x:v>
      </x:c>
      <x:c r="V45" s="16">
        <x:f t="shared" si="3"/>
        <x:v>0</x:v>
      </x:c>
      <x:c r="W45" s="16">
        <x:f t="shared" si="4"/>
        <x:v>0</x:v>
      </x:c>
      <x:c r="X45" s="16">
        <x:f t="shared" si="5"/>
        <x:v>0</x:v>
      </x:c>
    </x:row>
    <x:row r="46" ht="28.5" customHeight="1">
      <x:c r="A46" s="4" t="s">
        <x:v>187</x:v>
      </x:c>
      <x:c r="B46" s="4" t="s">
        <x:v>188</x:v>
      </x:c>
      <x:c r="C46" s="4" t="s">
        <x:v>11</x:v>
      </x:c>
      <x:c r="D46" s="21" t="s">
        <x:v>23</x:v>
      </x:c>
      <x:c r="E46" s="4" t="s">
        <x:v>189</x:v>
      </x:c>
      <x:c r="F46" s="4" t="s">
        <x:v>184</x:v>
      </x:c>
      <x:c r="G46" s="4" t="s">
        <x:v>65</x:v>
      </x:c>
      <x:c r="H46" s="4" t="s">
        <x:v>190</x:v>
      </x:c>
      <x:c r="I46" s="4" t="s">
        <x:v>67</x:v>
      </x:c>
      <x:c r="J46" s="4" t="s">
        <x:v>186</x:v>
      </x:c>
      <x:c r="K46" s="16">
        <x:v>2</x:v>
      </x:c>
      <x:c r="L46" s="16" t="s">
        <x:v>87</x:v>
      </x:c>
      <x:c r="M46" s="16">
        <x:v>1</x:v>
      </x:c>
      <x:c r="N46" s="16">
        <x:v>1</x:v>
      </x:c>
      <x:c r="O46" s="16">
        <x:f t="shared" si="0"/>
        <x:v>1</x:v>
      </x:c>
      <x:c r="P46" s="16">
        <x:f t="shared" si="1"/>
        <x:v>2</x:v>
      </x:c>
      <x:c r="Q46" s="16">
        <x:v>0</x:v>
      </x:c>
      <x:c r="R46" s="16">
        <x:v>0</x:v>
      </x:c>
      <x:c r="S46" s="16">
        <x:v>0</x:v>
      </x:c>
      <x:c r="T46" s="16">
        <x:v>0</x:v>
      </x:c>
      <x:c r="U46" s="16">
        <x:f t="shared" si="2"/>
        <x:v>0</x:v>
      </x:c>
      <x:c r="V46" s="16">
        <x:f t="shared" si="3"/>
        <x:v>0</x:v>
      </x:c>
      <x:c r="W46" s="16">
        <x:f t="shared" si="4"/>
        <x:v>0</x:v>
      </x:c>
      <x:c r="X46" s="16">
        <x:f t="shared" si="5"/>
        <x:v>0</x:v>
      </x:c>
    </x:row>
    <x:row r="47" ht="28.5" customHeight="1">
      <x:c r="A47" s="4" t="s">
        <x:v>191</x:v>
      </x:c>
      <x:c r="B47" s="4" t="s">
        <x:v>192</x:v>
      </x:c>
      <x:c r="C47" s="4" t="s">
        <x:v>11</x:v>
      </x:c>
      <x:c r="D47" s="21" t="s">
        <x:v>23</x:v>
      </x:c>
      <x:c r="E47" s="4" t="s">
        <x:v>183</x:v>
      </x:c>
      <x:c r="F47" s="4" t="s">
        <x:v>193</x:v>
      </x:c>
      <x:c r="G47" s="4" t="s">
        <x:v>65</x:v>
      </x:c>
      <x:c r="H47" s="4" t="s">
        <x:v>194</x:v>
      </x:c>
      <x:c r="I47" s="4" t="s">
        <x:v>67</x:v>
      </x:c>
      <x:c r="J47" s="4" t="s">
        <x:v>186</x:v>
      </x:c>
      <x:c r="K47" s="16">
        <x:v>2</x:v>
      </x:c>
      <x:c r="L47" s="16" t="s">
        <x:v>69</x:v>
      </x:c>
      <x:c r="M47" s="16">
        <x:v>1</x:v>
      </x:c>
      <x:c r="N47" s="16">
        <x:v>1</x:v>
      </x:c>
      <x:c r="O47" s="16">
        <x:f t="shared" si="0"/>
        <x:v>1</x:v>
      </x:c>
      <x:c r="P47" s="16">
        <x:f t="shared" si="1"/>
        <x:v>2</x:v>
      </x:c>
      <x:c r="Q47" s="16">
        <x:v>0</x:v>
      </x:c>
      <x:c r="R47" s="16">
        <x:v>0</x:v>
      </x:c>
      <x:c r="S47" s="16">
        <x:v>0</x:v>
      </x:c>
      <x:c r="T47" s="16">
        <x:v>0</x:v>
      </x:c>
      <x:c r="U47" s="16">
        <x:f t="shared" si="2"/>
        <x:v>0</x:v>
      </x:c>
      <x:c r="V47" s="16">
        <x:f t="shared" si="3"/>
        <x:v>0</x:v>
      </x:c>
      <x:c r="W47" s="16">
        <x:f t="shared" si="4"/>
        <x:v>0</x:v>
      </x:c>
      <x:c r="X47" s="16">
        <x:f t="shared" si="5"/>
        <x:v>0</x:v>
      </x:c>
    </x:row>
    <x:row r="48" ht="28.5" customHeight="1">
      <x:c r="A48" s="4" t="s">
        <x:v>195</x:v>
      </x:c>
      <x:c r="B48" s="4" t="s">
        <x:v>196</x:v>
      </x:c>
      <x:c r="C48" s="4" t="s">
        <x:v>11</x:v>
      </x:c>
      <x:c r="D48" s="21" t="s">
        <x:v>23</x:v>
      </x:c>
      <x:c r="E48" s="4" t="s">
        <x:v>189</x:v>
      </x:c>
      <x:c r="F48" s="4" t="s">
        <x:v>193</x:v>
      </x:c>
      <x:c r="G48" s="4" t="s">
        <x:v>65</x:v>
      </x:c>
      <x:c r="H48" s="4" t="s">
        <x:v>197</x:v>
      </x:c>
      <x:c r="I48" s="4" t="s">
        <x:v>67</x:v>
      </x:c>
      <x:c r="J48" s="4" t="s">
        <x:v>186</x:v>
      </x:c>
      <x:c r="K48" s="16">
        <x:v>2</x:v>
      </x:c>
      <x:c r="L48" s="16" t="s">
        <x:v>87</x:v>
      </x:c>
      <x:c r="M48" s="16">
        <x:v>1</x:v>
      </x:c>
      <x:c r="N48" s="16">
        <x:v>1</x:v>
      </x:c>
      <x:c r="O48" s="16">
        <x:f t="shared" si="0"/>
        <x:v>1</x:v>
      </x:c>
      <x:c r="P48" s="16">
        <x:f t="shared" si="1"/>
        <x:v>2</x:v>
      </x:c>
      <x:c r="Q48" s="16">
        <x:v>0</x:v>
      </x:c>
      <x:c r="R48" s="16">
        <x:v>0</x:v>
      </x:c>
      <x:c r="S48" s="16">
        <x:v>0</x:v>
      </x:c>
      <x:c r="T48" s="16">
        <x:v>0</x:v>
      </x:c>
      <x:c r="U48" s="16">
        <x:f t="shared" si="2"/>
        <x:v>0</x:v>
      </x:c>
      <x:c r="V48" s="16">
        <x:f t="shared" si="3"/>
        <x:v>0</x:v>
      </x:c>
      <x:c r="W48" s="16">
        <x:f t="shared" si="4"/>
        <x:v>0</x:v>
      </x:c>
      <x:c r="X48" s="16">
        <x:f t="shared" si="5"/>
        <x:v>0</x:v>
      </x:c>
    </x:row>
    <x:row r="49" ht="28.5" customHeight="1">
      <x:c r="A49" s="4" t="str">
        <x:v>PI-MACRO-05</x:v>
      </x:c>
      <x:c r="B49" s="4" t="str">
        <x:v>低位补库启动</x:v>
      </x:c>
      <x:c r="C49" s="4" t="str">
        <x:v>宏观与联动信息</x:v>
      </x:c>
      <x:c r="D49" s="21" t="str">
        <x:v>普通</x:v>
      </x:c>
      <x:c r="E49" s="4" t="str">
        <x:v>低位扶升</x:v>
      </x:c>
      <x:c r="F49" s="4" t="str">
        <x:v>任一低价区商品</x:v>
      </x:c>
      <x:c r="G49" s="4" t="str">
        <x:v>出牌阶段</x:v>
      </x:c>
      <x:c r="H49" s="4" t="str">
        <x:v>低位扶升：选择现货位于低价区（第 1—17 格）的一种商品，使其现货上涨 1 格。</x:v>
      </x:c>
      <x:c r="I49" s="4" t="str">
        <x:v>本月立即结算；不跨月</x:v>
      </x:c>
      <x:c r="J49" s="4" t="str">
        <x:v>单次；低位扶升；普通</x:v>
      </x:c>
      <x:c r="K49" s="16" t="n">
        <x:v>2</x:v>
      </x:c>
      <x:c r="L49" s="16" t="str">
        <x:v>上涨</x:v>
      </x:c>
      <x:c r="M49" s="16" t="n">
        <x:v>1</x:v>
      </x:c>
      <x:c r="N49" s="16" t="n">
        <x:v>1</x:v>
      </x:c>
      <x:c r="O49" s="16" t="n">
        <x:f t="shared" si="0"/>
        <x:v>1</x:v>
      </x:c>
      <x:c r="P49" s="16" t="n">
        <x:f t="shared" si="1"/>
        <x:v>2</x:v>
      </x:c>
      <x:c r="Q49" s="16" t="n">
        <x:v>0</x:v>
      </x:c>
      <x:c r="R49" s="16" t="n">
        <x:v>0</x:v>
      </x:c>
      <x:c r="S49" s="16" t="n">
        <x:v>0</x:v>
      </x:c>
      <x:c r="T49" s="16" t="n">
        <x:v>0</x:v>
      </x:c>
      <x:c r="U49" s="16" t="n">
        <x:f t="shared" si="2"/>
        <x:v>0</x:v>
      </x:c>
      <x:c r="V49" s="16" t="n">
        <x:f t="shared" si="3"/>
        <x:v>0</x:v>
      </x:c>
      <x:c r="W49" s="16" t="n">
        <x:f t="shared" si="4"/>
        <x:v>0</x:v>
      </x:c>
      <x:c r="X49" s="16" t="n">
        <x:f t="shared" si="5"/>
        <x:v>0</x:v>
      </x:c>
    </x:row>
    <x:row r="50" ht="28.5" customHeight="1">
      <x:c r="A50" s="4" t="str">
        <x:v>PI-MACRO-06</x:v>
      </x:c>
      <x:c r="B50" s="4" t="str">
        <x:v>高位需求降温</x:v>
      </x:c>
      <x:c r="C50" s="4" t="str">
        <x:v>宏观与联动信息</x:v>
      </x:c>
      <x:c r="D50" s="21" t="str">
        <x:v>普通</x:v>
      </x:c>
      <x:c r="E50" s="4" t="str">
        <x:v>高位压降</x:v>
      </x:c>
      <x:c r="F50" s="4" t="str">
        <x:v>任一高价区商品</x:v>
      </x:c>
      <x:c r="G50" s="4" t="str">
        <x:v>出牌阶段</x:v>
      </x:c>
      <x:c r="H50" s="4" t="str">
        <x:v>高位压降：选择现货位于高价区（第 35—51 格）的一种商品，使其现货下跌 1 格。</x:v>
      </x:c>
      <x:c r="I50" s="4" t="str">
        <x:v>本月立即结算；不跨月</x:v>
      </x:c>
      <x:c r="J50" s="4" t="str">
        <x:v>单次；高位压降；普通</x:v>
      </x:c>
      <x:c r="K50" s="16" t="n">
        <x:v>2</x:v>
      </x:c>
      <x:c r="L50" s="16" t="str">
        <x:v>下跌</x:v>
      </x:c>
      <x:c r="M50" s="16" t="n">
        <x:v>1</x:v>
      </x:c>
      <x:c r="N50" s="16" t="n">
        <x:v>1</x:v>
      </x:c>
      <x:c r="O50" s="16" t="n">
        <x:f t="shared" si="0"/>
        <x:v>1</x:v>
      </x:c>
      <x:c r="P50" s="16" t="n">
        <x:f t="shared" si="1"/>
        <x:v>2</x:v>
      </x:c>
      <x:c r="Q50" s="16" t="n">
        <x:v>0</x:v>
      </x:c>
      <x:c r="R50" s="16" t="n">
        <x:v>0</x:v>
      </x:c>
      <x:c r="S50" s="16" t="n">
        <x:v>0</x:v>
      </x:c>
      <x:c r="T50" s="16" t="n">
        <x:v>0</x:v>
      </x:c>
      <x:c r="U50" s="16" t="n">
        <x:f t="shared" si="2"/>
        <x:v>0</x:v>
      </x:c>
      <x:c r="V50" s="16" t="n">
        <x:f t="shared" si="3"/>
        <x:v>0</x:v>
      </x:c>
      <x:c r="W50" s="16" t="n">
        <x:f t="shared" si="4"/>
        <x:v>0</x:v>
      </x:c>
      <x:c r="X50" s="16" t="n">
        <x:f t="shared" si="5"/>
        <x:v>0</x:v>
      </x:c>
    </x:row>
    <x:row r="51" ht="28.5" customHeight="1">
      <x:c r="A51" s="4" t="str">
        <x:v>PI-MACRO-07</x:v>
      </x:c>
      <x:c r="B51" s="4" t="str">
        <x:v>价值资金集中入场</x:v>
      </x:c>
      <x:c r="C51" s="4" t="str">
        <x:v>宏观与联动信息</x:v>
      </x:c>
      <x:c r="D51" s="15" t="str">
        <x:v>强烈</x:v>
      </x:c>
      <x:c r="E51" s="4" t="str">
        <x:v>低位扶升</x:v>
      </x:c>
      <x:c r="F51" s="4" t="str">
        <x:v>任一低价区商品</x:v>
      </x:c>
      <x:c r="G51" s="4" t="str">
        <x:v>出牌阶段</x:v>
      </x:c>
      <x:c r="H51" s="4" t="str">
        <x:v>低位扶升：选择现货位于低价区（第 1—17 格）的一种商品，使其现货上涨 2 格。</x:v>
      </x:c>
      <x:c r="I51" s="4" t="str">
        <x:v>本月立即结算；不跨月</x:v>
      </x:c>
      <x:c r="J51" s="4" t="str">
        <x:v>单次；低位扶升；强烈</x:v>
      </x:c>
      <x:c r="K51" s="16" t="n">
        <x:v>2</x:v>
      </x:c>
      <x:c r="L51" s="16" t="str">
        <x:v>上涨</x:v>
      </x:c>
      <x:c r="M51" s="16" t="n">
        <x:v>2</x:v>
      </x:c>
      <x:c r="N51" s="16" t="n">
        <x:v>1</x:v>
      </x:c>
      <x:c r="O51" s="16" t="n">
        <x:f t="shared" si="0"/>
        <x:v>2</x:v>
      </x:c>
      <x:c r="P51" s="16" t="n">
        <x:f t="shared" si="1"/>
        <x:v>4</x:v>
      </x:c>
      <x:c r="Q51" s="16" t="n">
        <x:v>0</x:v>
      </x:c>
      <x:c r="R51" s="16" t="n">
        <x:v>0</x:v>
      </x:c>
      <x:c r="S51" s="16" t="n">
        <x:v>0</x:v>
      </x:c>
      <x:c r="T51" s="16" t="n">
        <x:v>0</x:v>
      </x:c>
      <x:c r="U51" s="16" t="n">
        <x:f t="shared" si="2"/>
        <x:v>0</x:v>
      </x:c>
      <x:c r="V51" s="16" t="n">
        <x:f t="shared" si="3"/>
        <x:v>0</x:v>
      </x:c>
      <x:c r="W51" s="16" t="n">
        <x:f t="shared" si="4"/>
        <x:v>0</x:v>
      </x:c>
      <x:c r="X51" s="16" t="n">
        <x:f t="shared" si="5"/>
        <x:v>0</x:v>
      </x:c>
    </x:row>
    <x:row r="52" ht="28.5" customHeight="1">
      <x:c r="A52" s="4" t="str">
        <x:v>PI-MACRO-08</x:v>
      </x:c>
      <x:c r="B52" s="4" t="str">
        <x:v>泡沫去杠杆踩踏</x:v>
      </x:c>
      <x:c r="C52" s="4" t="str">
        <x:v>宏观与联动信息</x:v>
      </x:c>
      <x:c r="D52" s="15" t="str">
        <x:v>强烈</x:v>
      </x:c>
      <x:c r="E52" s="4" t="str">
        <x:v>高位压降</x:v>
      </x:c>
      <x:c r="F52" s="4" t="str">
        <x:v>任一高价区商品</x:v>
      </x:c>
      <x:c r="G52" s="4" t="str">
        <x:v>出牌阶段</x:v>
      </x:c>
      <x:c r="H52" s="4" t="str">
        <x:v>高位压降：选择现货位于高价区（第 35—51 格）的一种商品，使其现货下跌 2 格。</x:v>
      </x:c>
      <x:c r="I52" s="4" t="str">
        <x:v>本月立即结算；不跨月</x:v>
      </x:c>
      <x:c r="J52" s="4" t="str">
        <x:v>单次；高位压降；强烈</x:v>
      </x:c>
      <x:c r="K52" s="16" t="n">
        <x:v>2</x:v>
      </x:c>
      <x:c r="L52" s="16" t="str">
        <x:v>下跌</x:v>
      </x:c>
      <x:c r="M52" s="16" t="n">
        <x:v>2</x:v>
      </x:c>
      <x:c r="N52" s="16" t="n">
        <x:v>1</x:v>
      </x:c>
      <x:c r="O52" s="16" t="n">
        <x:f t="shared" si="0"/>
        <x:v>2</x:v>
      </x:c>
      <x:c r="P52" s="16" t="n">
        <x:f t="shared" si="1"/>
        <x:v>4</x:v>
      </x:c>
      <x:c r="Q52" s="16" t="n">
        <x:v>0</x:v>
      </x:c>
      <x:c r="R52" s="16" t="n">
        <x:v>0</x:v>
      </x:c>
      <x:c r="S52" s="16" t="n">
        <x:v>0</x:v>
      </x:c>
      <x:c r="T52" s="16" t="n">
        <x:v>0</x:v>
      </x:c>
      <x:c r="U52" s="16" t="n">
        <x:f t="shared" si="2"/>
        <x:v>0</x:v>
      </x:c>
      <x:c r="V52" s="16" t="n">
        <x:f t="shared" si="3"/>
        <x:v>0</x:v>
      </x:c>
      <x:c r="W52" s="16" t="n">
        <x:f t="shared" si="4"/>
        <x:v>0</x:v>
      </x:c>
      <x:c r="X52" s="16" t="n">
        <x:f t="shared" si="5"/>
        <x:v>0</x:v>
      </x:c>
    </x:row>
    <x:row r="53" ht="28.5" customHeight="1">
      <x:c r="A53" s="4" t="s">
        <x:v>198</x:v>
      </x:c>
      <x:c r="B53" s="4" t="s">
        <x:v>199</x:v>
      </x:c>
      <x:c r="C53" s="4" t="s">
        <x:v>11</x:v>
      </x:c>
      <x:c r="D53" s="21" t="s">
        <x:v>23</x:v>
      </x:c>
      <x:c r="E53" s="4" t="s">
        <x:v>183</x:v>
      </x:c>
      <x:c r="F53" s="4" t="s">
        <x:v>200</x:v>
      </x:c>
      <x:c r="G53" s="4" t="s">
        <x:v>65</x:v>
      </x:c>
      <x:c r="H53" s="4" t="s">
        <x:v>201</x:v>
      </x:c>
      <x:c r="I53" s="4" t="s">
        <x:v>67</x:v>
      </x:c>
      <x:c r="J53" s="4" t="s">
        <x:v>186</x:v>
      </x:c>
      <x:c r="K53" s="16">
        <x:v>2</x:v>
      </x:c>
      <x:c r="L53" s="16" t="s">
        <x:v>69</x:v>
      </x:c>
      <x:c r="M53" s="16">
        <x:v>1</x:v>
      </x:c>
      <x:c r="N53" s="16">
        <x:v>1</x:v>
      </x:c>
      <x:c r="O53" s="16">
        <x:f t="shared" si="0"/>
        <x:v>1</x:v>
      </x:c>
      <x:c r="P53" s="16">
        <x:f t="shared" si="1"/>
        <x:v>2</x:v>
      </x:c>
      <x:c r="Q53" s="16">
        <x:v>0</x:v>
      </x:c>
      <x:c r="R53" s="16">
        <x:v>0</x:v>
      </x:c>
      <x:c r="S53" s="16">
        <x:v>0</x:v>
      </x:c>
      <x:c r="T53" s="16">
        <x:v>0</x:v>
      </x:c>
      <x:c r="U53" s="16">
        <x:f t="shared" si="2"/>
        <x:v>0</x:v>
      </x:c>
      <x:c r="V53" s="16">
        <x:f t="shared" si="3"/>
        <x:v>0</x:v>
      </x:c>
      <x:c r="W53" s="16">
        <x:f t="shared" si="4"/>
        <x:v>0</x:v>
      </x:c>
      <x:c r="X53" s="16">
        <x:f t="shared" si="5"/>
        <x:v>0</x:v>
      </x:c>
    </x:row>
    <x:row r="54" ht="28.5" customHeight="1">
      <x:c r="A54" s="4" t="s">
        <x:v>202</x:v>
      </x:c>
      <x:c r="B54" s="4" t="s">
        <x:v>203</x:v>
      </x:c>
      <x:c r="C54" s="4" t="s">
        <x:v>11</x:v>
      </x:c>
      <x:c r="D54" s="21" t="s">
        <x:v>23</x:v>
      </x:c>
      <x:c r="E54" s="4" t="s">
        <x:v>189</x:v>
      </x:c>
      <x:c r="F54" s="4" t="s">
        <x:v>200</x:v>
      </x:c>
      <x:c r="G54" s="4" t="s">
        <x:v>65</x:v>
      </x:c>
      <x:c r="H54" s="4" t="s">
        <x:v>204</x:v>
      </x:c>
      <x:c r="I54" s="4" t="s">
        <x:v>67</x:v>
      </x:c>
      <x:c r="J54" s="4" t="s">
        <x:v>186</x:v>
      </x:c>
      <x:c r="K54" s="16">
        <x:v>2</x:v>
      </x:c>
      <x:c r="L54" s="16" t="s">
        <x:v>87</x:v>
      </x:c>
      <x:c r="M54" s="16">
        <x:v>1</x:v>
      </x:c>
      <x:c r="N54" s="16">
        <x:v>1</x:v>
      </x:c>
      <x:c r="O54" s="16">
        <x:f t="shared" si="0"/>
        <x:v>1</x:v>
      </x:c>
      <x:c r="P54" s="16">
        <x:f t="shared" si="1"/>
        <x:v>2</x:v>
      </x:c>
      <x:c r="Q54" s="16">
        <x:v>0</x:v>
      </x:c>
      <x:c r="R54" s="16">
        <x:v>0</x:v>
      </x:c>
      <x:c r="S54" s="16">
        <x:v>0</x:v>
      </x:c>
      <x:c r="T54" s="16">
        <x:v>0</x:v>
      </x:c>
      <x:c r="U54" s="16">
        <x:f t="shared" si="2"/>
        <x:v>0</x:v>
      </x:c>
      <x:c r="V54" s="16">
        <x:f t="shared" si="3"/>
        <x:v>0</x:v>
      </x:c>
      <x:c r="W54" s="16">
        <x:f t="shared" si="4"/>
        <x:v>0</x:v>
      </x:c>
      <x:c r="X54" s="16">
        <x:f t="shared" si="5"/>
        <x:v>0</x:v>
      </x:c>
    </x:row>
    <x:row r="55" ht="28.5" customHeight="1">
      <x:c r="A55" s="4" t="s">
        <x:v>205</x:v>
      </x:c>
      <x:c r="B55" s="4" t="s">
        <x:v>206</x:v>
      </x:c>
      <x:c r="C55" s="4" t="s">
        <x:v>11</x:v>
      </x:c>
      <x:c r="D55" s="15" t="s">
        <x:v>24</x:v>
      </x:c>
      <x:c r="E55" s="4" t="s">
        <x:v>207</x:v>
      </x:c>
      <x:c r="F55" s="4" t="s">
        <x:v>208</x:v>
      </x:c>
      <x:c r="G55" s="4" t="s">
        <x:v>65</x:v>
      </x:c>
      <x:c r="H55" s="4" t="s">
        <x:v>209</x:v>
      </x:c>
      <x:c r="I55" s="4" t="s">
        <x:v>67</x:v>
      </x:c>
      <x:c r="J55" s="4" t="s">
        <x:v>210</x:v>
      </x:c>
      <x:c r="K55" s="16">
        <x:v>2</x:v>
      </x:c>
      <x:c r="L55" s="16" t="s">
        <x:v>211</x:v>
      </x:c>
      <x:c r="M55" s="16">
        <x:v>2</x:v>
      </x:c>
      <x:c r="N55" s="16">
        <x:v>1</x:v>
      </x:c>
      <x:c r="O55" s="16">
        <x:f t="shared" si="0"/>
        <x:v>2</x:v>
      </x:c>
      <x:c r="P55" s="16">
        <x:f t="shared" si="1"/>
        <x:v>4</x:v>
      </x:c>
      <x:c r="Q55" s="16">
        <x:v>-1</x:v>
      </x:c>
      <x:c r="R55" s="16">
        <x:v>0</x:v>
      </x:c>
      <x:c r="S55" s="16">
        <x:v>0</x:v>
      </x:c>
      <x:c r="T55" s="16">
        <x:v>1</x:v>
      </x:c>
      <x:c r="U55" s="16">
        <x:f t="shared" si="2"/>
        <x:v>-2</x:v>
      </x:c>
      <x:c r="V55" s="16">
        <x:f t="shared" si="3"/>
        <x:v>0</x:v>
      </x:c>
      <x:c r="W55" s="16">
        <x:f t="shared" si="4"/>
        <x:v>0</x:v>
      </x:c>
      <x:c r="X55" s="16">
        <x:f t="shared" si="5"/>
        <x:v>2</x:v>
      </x:c>
    </x:row>
    <x:row r="56" ht="28.5" customHeight="1">
      <x:c r="A56" s="4" t="s">
        <x:v>212</x:v>
      </x:c>
      <x:c r="B56" s="4" t="s">
        <x:v>213</x:v>
      </x:c>
      <x:c r="C56" s="4" t="s">
        <x:v>11</x:v>
      </x:c>
      <x:c r="D56" s="15" t="s">
        <x:v>24</x:v>
      </x:c>
      <x:c r="E56" s="4" t="s">
        <x:v>207</x:v>
      </x:c>
      <x:c r="F56" s="4" t="s">
        <x:v>208</x:v>
      </x:c>
      <x:c r="G56" s="4" t="s">
        <x:v>65</x:v>
      </x:c>
      <x:c r="H56" s="4" t="s">
        <x:v>214</x:v>
      </x:c>
      <x:c r="I56" s="4" t="s">
        <x:v>67</x:v>
      </x:c>
      <x:c r="J56" s="4" t="s">
        <x:v>210</x:v>
      </x:c>
      <x:c r="K56" s="16">
        <x:v>2</x:v>
      </x:c>
      <x:c r="L56" s="16" t="s">
        <x:v>211</x:v>
      </x:c>
      <x:c r="M56" s="16">
        <x:v>2</x:v>
      </x:c>
      <x:c r="N56" s="16">
        <x:v>1</x:v>
      </x:c>
      <x:c r="O56" s="16">
        <x:f t="shared" si="0"/>
        <x:v>2</x:v>
      </x:c>
      <x:c r="P56" s="16">
        <x:f t="shared" si="1"/>
        <x:v>4</x:v>
      </x:c>
      <x:c r="Q56" s="16">
        <x:v>1</x:v>
      </x:c>
      <x:c r="R56" s="16">
        <x:v>0</x:v>
      </x:c>
      <x:c r="S56" s="16">
        <x:v>0</x:v>
      </x:c>
      <x:c r="T56" s="16">
        <x:v>-1</x:v>
      </x:c>
      <x:c r="U56" s="16">
        <x:f t="shared" si="2"/>
        <x:v>2</x:v>
      </x:c>
      <x:c r="V56" s="16">
        <x:f t="shared" si="3"/>
        <x:v>0</x:v>
      </x:c>
      <x:c r="W56" s="16">
        <x:f t="shared" si="4"/>
        <x:v>0</x:v>
      </x:c>
      <x:c r="X56" s="16">
        <x:f t="shared" si="5"/>
        <x:v>-2</x:v>
      </x:c>
    </x:row>
    <x:row r="57" ht="28.5" customHeight="1">
      <x:c r="A57" s="4" t="s">
        <x:v>215</x:v>
      </x:c>
      <x:c r="B57" s="4" t="s">
        <x:v>216</x:v>
      </x:c>
      <x:c r="C57" s="4" t="s">
        <x:v>13</x:v>
      </x:c>
      <x:c r="D57" s="18" t="s">
        <x:v>28</x:v>
      </x:c>
      <x:c r="E57" s="4" t="s">
        <x:v>217</x:v>
      </x:c>
      <x:c r="F57" s="4" t="s">
        <x:v>64</x:v>
      </x:c>
      <x:c r="G57" s="4" t="s">
        <x:v>65</x:v>
      </x:c>
      <x:c r="H57" s="4" t="s">
        <x:v>218</x:v>
      </x:c>
      <x:c r="I57" s="4" t="s">
        <x:v>219</x:v>
      </x:c>
      <x:c r="J57" s="4" t="s">
        <x:v>220</x:v>
      </x:c>
      <x:c r="K57" s="16">
        <x:v>2</x:v>
      </x:c>
      <x:c r="L57" s="16" t="s">
        <x:v>69</x:v>
      </x:c>
      <x:c r="M57" s="16">
        <x:v>1</x:v>
      </x:c>
      <x:c r="N57" s="16">
        <x:v>2</x:v>
      </x:c>
      <x:c r="O57" s="16">
        <x:f t="shared" si="0"/>
        <x:v>2</x:v>
      </x:c>
      <x:c r="P57" s="16">
        <x:f t="shared" si="1"/>
        <x:v>4</x:v>
      </x:c>
      <x:c r="Q57" s="16">
        <x:v>1</x:v>
      </x:c>
      <x:c r="R57" s="16">
        <x:v>0</x:v>
      </x:c>
      <x:c r="S57" s="16">
        <x:v>0</x:v>
      </x:c>
      <x:c r="T57" s="16">
        <x:v>0</x:v>
      </x:c>
      <x:c r="U57" s="16">
        <x:f t="shared" si="2"/>
        <x:v>4</x:v>
      </x:c>
      <x:c r="V57" s="16">
        <x:f t="shared" si="3"/>
        <x:v>0</x:v>
      </x:c>
      <x:c r="W57" s="16">
        <x:f t="shared" si="4"/>
        <x:v>0</x:v>
      </x:c>
      <x:c r="X57" s="16">
        <x:f t="shared" si="5"/>
        <x:v>0</x:v>
      </x:c>
    </x:row>
    <x:row r="58" ht="28.5" customHeight="1">
      <x:c r="A58" s="4" t="s">
        <x:v>221</x:v>
      </x:c>
      <x:c r="B58" s="4" t="s">
        <x:v>222</x:v>
      </x:c>
      <x:c r="C58" s="4" t="s">
        <x:v>13</x:v>
      </x:c>
      <x:c r="D58" s="18" t="s">
        <x:v>28</x:v>
      </x:c>
      <x:c r="E58" s="4" t="s">
        <x:v>223</x:v>
      </x:c>
      <x:c r="F58" s="4" t="s">
        <x:v>64</x:v>
      </x:c>
      <x:c r="G58" s="4" t="s">
        <x:v>65</x:v>
      </x:c>
      <x:c r="H58" s="4" t="s">
        <x:v>224</x:v>
      </x:c>
      <x:c r="I58" s="4" t="s">
        <x:v>219</x:v>
      </x:c>
      <x:c r="J58" s="4" t="s">
        <x:v>225</x:v>
      </x:c>
      <x:c r="K58" s="16">
        <x:v>2</x:v>
      </x:c>
      <x:c r="L58" s="16" t="s">
        <x:v>87</x:v>
      </x:c>
      <x:c r="M58" s="16">
        <x:v>1</x:v>
      </x:c>
      <x:c r="N58" s="16">
        <x:v>2</x:v>
      </x:c>
      <x:c r="O58" s="16">
        <x:f t="shared" si="0"/>
        <x:v>2</x:v>
      </x:c>
      <x:c r="P58" s="16">
        <x:f t="shared" si="1"/>
        <x:v>4</x:v>
      </x:c>
      <x:c r="Q58" s="16">
        <x:v>-1</x:v>
      </x:c>
      <x:c r="R58" s="16">
        <x:v>0</x:v>
      </x:c>
      <x:c r="S58" s="16">
        <x:v>0</x:v>
      </x:c>
      <x:c r="T58" s="16">
        <x:v>0</x:v>
      </x:c>
      <x:c r="U58" s="16">
        <x:f t="shared" si="2"/>
        <x:v>-4</x:v>
      </x:c>
      <x:c r="V58" s="16">
        <x:f t="shared" si="3"/>
        <x:v>0</x:v>
      </x:c>
      <x:c r="W58" s="16">
        <x:f t="shared" si="4"/>
        <x:v>0</x:v>
      </x:c>
      <x:c r="X58" s="16">
        <x:f t="shared" si="5"/>
        <x:v>0</x:v>
      </x:c>
    </x:row>
    <x:row r="59" ht="28.5" customHeight="1">
      <x:c r="A59" s="4" t="s">
        <x:v>226</x:v>
      </x:c>
      <x:c r="B59" s="4" t="s">
        <x:v>227</x:v>
      </x:c>
      <x:c r="C59" s="4" t="s">
        <x:v>13</x:v>
      </x:c>
      <x:c r="D59" s="18" t="s">
        <x:v>28</x:v>
      </x:c>
      <x:c r="E59" s="4" t="s">
        <x:v>217</x:v>
      </x:c>
      <x:c r="F59" s="4" t="s">
        <x:v>102</x:v>
      </x:c>
      <x:c r="G59" s="4" t="s">
        <x:v>65</x:v>
      </x:c>
      <x:c r="H59" s="4" t="s">
        <x:v>228</x:v>
      </x:c>
      <x:c r="I59" s="4" t="s">
        <x:v>219</x:v>
      </x:c>
      <x:c r="J59" s="4" t="s">
        <x:v>220</x:v>
      </x:c>
      <x:c r="K59" s="16">
        <x:v>2</x:v>
      </x:c>
      <x:c r="L59" s="16" t="s">
        <x:v>69</x:v>
      </x:c>
      <x:c r="M59" s="16">
        <x:v>1</x:v>
      </x:c>
      <x:c r="N59" s="16">
        <x:v>2</x:v>
      </x:c>
      <x:c r="O59" s="16">
        <x:f t="shared" si="0"/>
        <x:v>2</x:v>
      </x:c>
      <x:c r="P59" s="16">
        <x:f t="shared" si="1"/>
        <x:v>4</x:v>
      </x:c>
      <x:c r="Q59" s="16">
        <x:v>0</x:v>
      </x:c>
      <x:c r="R59" s="16">
        <x:v>1</x:v>
      </x:c>
      <x:c r="S59" s="16">
        <x:v>0</x:v>
      </x:c>
      <x:c r="T59" s="16">
        <x:v>0</x:v>
      </x:c>
      <x:c r="U59" s="16">
        <x:f t="shared" si="2"/>
        <x:v>0</x:v>
      </x:c>
      <x:c r="V59" s="16">
        <x:f t="shared" si="3"/>
        <x:v>4</x:v>
      </x:c>
      <x:c r="W59" s="16">
        <x:f t="shared" si="4"/>
        <x:v>0</x:v>
      </x:c>
      <x:c r="X59" s="16">
        <x:f t="shared" si="5"/>
        <x:v>0</x:v>
      </x:c>
    </x:row>
    <x:row r="60" ht="28.5" customHeight="1">
      <x:c r="A60" s="4" t="s">
        <x:v>229</x:v>
      </x:c>
      <x:c r="B60" s="4" t="s">
        <x:v>230</x:v>
      </x:c>
      <x:c r="C60" s="4" t="s">
        <x:v>13</x:v>
      </x:c>
      <x:c r="D60" s="18" t="s">
        <x:v>28</x:v>
      </x:c>
      <x:c r="E60" s="4" t="s">
        <x:v>223</x:v>
      </x:c>
      <x:c r="F60" s="4" t="s">
        <x:v>102</x:v>
      </x:c>
      <x:c r="G60" s="4" t="s">
        <x:v>65</x:v>
      </x:c>
      <x:c r="H60" s="4" t="s">
        <x:v>231</x:v>
      </x:c>
      <x:c r="I60" s="4" t="s">
        <x:v>219</x:v>
      </x:c>
      <x:c r="J60" s="4" t="s">
        <x:v>225</x:v>
      </x:c>
      <x:c r="K60" s="16">
        <x:v>2</x:v>
      </x:c>
      <x:c r="L60" s="16" t="s">
        <x:v>87</x:v>
      </x:c>
      <x:c r="M60" s="16">
        <x:v>1</x:v>
      </x:c>
      <x:c r="N60" s="16">
        <x:v>2</x:v>
      </x:c>
      <x:c r="O60" s="16">
        <x:f t="shared" si="0"/>
        <x:v>2</x:v>
      </x:c>
      <x:c r="P60" s="16">
        <x:f t="shared" si="1"/>
        <x:v>4</x:v>
      </x:c>
      <x:c r="Q60" s="16">
        <x:v>0</x:v>
      </x:c>
      <x:c r="R60" s="16">
        <x:v>-1</x:v>
      </x:c>
      <x:c r="S60" s="16">
        <x:v>0</x:v>
      </x:c>
      <x:c r="T60" s="16">
        <x:v>0</x:v>
      </x:c>
      <x:c r="U60" s="16">
        <x:f t="shared" si="2"/>
        <x:v>0</x:v>
      </x:c>
      <x:c r="V60" s="16">
        <x:f t="shared" si="3"/>
        <x:v>-4</x:v>
      </x:c>
      <x:c r="W60" s="16">
        <x:f t="shared" si="4"/>
        <x:v>0</x:v>
      </x:c>
      <x:c r="X60" s="16">
        <x:f t="shared" si="5"/>
        <x:v>0</x:v>
      </x:c>
    </x:row>
    <x:row r="61" ht="28.5" customHeight="1">
      <x:c r="A61" s="4" t="s">
        <x:v>232</x:v>
      </x:c>
      <x:c r="B61" s="4" t="s">
        <x:v>233</x:v>
      </x:c>
      <x:c r="C61" s="4" t="s">
        <x:v>13</x:v>
      </x:c>
      <x:c r="D61" s="18" t="s">
        <x:v>28</x:v>
      </x:c>
      <x:c r="E61" s="4" t="s">
        <x:v>217</x:v>
      </x:c>
      <x:c r="F61" s="4" t="s">
        <x:v>129</x:v>
      </x:c>
      <x:c r="G61" s="4" t="s">
        <x:v>65</x:v>
      </x:c>
      <x:c r="H61" s="4" t="s">
        <x:v>234</x:v>
      </x:c>
      <x:c r="I61" s="4" t="s">
        <x:v>219</x:v>
      </x:c>
      <x:c r="J61" s="4" t="s">
        <x:v>220</x:v>
      </x:c>
      <x:c r="K61" s="16">
        <x:v>2</x:v>
      </x:c>
      <x:c r="L61" s="16" t="s">
        <x:v>69</x:v>
      </x:c>
      <x:c r="M61" s="16">
        <x:v>1</x:v>
      </x:c>
      <x:c r="N61" s="16">
        <x:v>2</x:v>
      </x:c>
      <x:c r="O61" s="16">
        <x:f t="shared" si="0"/>
        <x:v>2</x:v>
      </x:c>
      <x:c r="P61" s="16">
        <x:f t="shared" si="1"/>
        <x:v>4</x:v>
      </x:c>
      <x:c r="Q61" s="16">
        <x:v>0</x:v>
      </x:c>
      <x:c r="R61" s="16">
        <x:v>0</x:v>
      </x:c>
      <x:c r="S61" s="16">
        <x:v>1</x:v>
      </x:c>
      <x:c r="T61" s="16">
        <x:v>0</x:v>
      </x:c>
      <x:c r="U61" s="16">
        <x:f t="shared" si="2"/>
        <x:v>0</x:v>
      </x:c>
      <x:c r="V61" s="16">
        <x:f t="shared" si="3"/>
        <x:v>0</x:v>
      </x:c>
      <x:c r="W61" s="16">
        <x:f t="shared" si="4"/>
        <x:v>4</x:v>
      </x:c>
      <x:c r="X61" s="16">
        <x:f t="shared" si="5"/>
        <x:v>0</x:v>
      </x:c>
    </x:row>
    <x:row r="62" ht="28.5" customHeight="1">
      <x:c r="A62" s="4" t="s">
        <x:v>235</x:v>
      </x:c>
      <x:c r="B62" s="4" t="s">
        <x:v>236</x:v>
      </x:c>
      <x:c r="C62" s="4" t="s">
        <x:v>13</x:v>
      </x:c>
      <x:c r="D62" s="18" t="s">
        <x:v>28</x:v>
      </x:c>
      <x:c r="E62" s="4" t="s">
        <x:v>223</x:v>
      </x:c>
      <x:c r="F62" s="4" t="s">
        <x:v>129</x:v>
      </x:c>
      <x:c r="G62" s="4" t="s">
        <x:v>65</x:v>
      </x:c>
      <x:c r="H62" s="4" t="s">
        <x:v>237</x:v>
      </x:c>
      <x:c r="I62" s="4" t="s">
        <x:v>219</x:v>
      </x:c>
      <x:c r="J62" s="4" t="s">
        <x:v>225</x:v>
      </x:c>
      <x:c r="K62" s="16">
        <x:v>2</x:v>
      </x:c>
      <x:c r="L62" s="16" t="s">
        <x:v>87</x:v>
      </x:c>
      <x:c r="M62" s="16">
        <x:v>1</x:v>
      </x:c>
      <x:c r="N62" s="16">
        <x:v>2</x:v>
      </x:c>
      <x:c r="O62" s="16">
        <x:f t="shared" si="0"/>
        <x:v>2</x:v>
      </x:c>
      <x:c r="P62" s="16">
        <x:f t="shared" si="1"/>
        <x:v>4</x:v>
      </x:c>
      <x:c r="Q62" s="16">
        <x:v>0</x:v>
      </x:c>
      <x:c r="R62" s="16">
        <x:v>0</x:v>
      </x:c>
      <x:c r="S62" s="16">
        <x:v>-1</x:v>
      </x:c>
      <x:c r="T62" s="16">
        <x:v>0</x:v>
      </x:c>
      <x:c r="U62" s="16">
        <x:f t="shared" si="2"/>
        <x:v>0</x:v>
      </x:c>
      <x:c r="V62" s="16">
        <x:f t="shared" si="3"/>
        <x:v>0</x:v>
      </x:c>
      <x:c r="W62" s="16">
        <x:f t="shared" si="4"/>
        <x:v>-4</x:v>
      </x:c>
      <x:c r="X62" s="16">
        <x:f t="shared" si="5"/>
        <x:v>0</x:v>
      </x:c>
    </x:row>
    <x:row r="63" ht="28.5" customHeight="1">
      <x:c r="A63" s="4" t="s">
        <x:v>238</x:v>
      </x:c>
      <x:c r="B63" s="4" t="s">
        <x:v>239</x:v>
      </x:c>
      <x:c r="C63" s="4" t="s">
        <x:v>13</x:v>
      </x:c>
      <x:c r="D63" s="18" t="s">
        <x:v>28</x:v>
      </x:c>
      <x:c r="E63" s="4" t="s">
        <x:v>217</x:v>
      </x:c>
      <x:c r="F63" s="4" t="s">
        <x:v>156</x:v>
      </x:c>
      <x:c r="G63" s="4" t="s">
        <x:v>65</x:v>
      </x:c>
      <x:c r="H63" s="4" t="s">
        <x:v>240</x:v>
      </x:c>
      <x:c r="I63" s="4" t="s">
        <x:v>219</x:v>
      </x:c>
      <x:c r="J63" s="4" t="s">
        <x:v>220</x:v>
      </x:c>
      <x:c r="K63" s="16">
        <x:v>2</x:v>
      </x:c>
      <x:c r="L63" s="16" t="s">
        <x:v>69</x:v>
      </x:c>
      <x:c r="M63" s="16">
        <x:v>1</x:v>
      </x:c>
      <x:c r="N63" s="16">
        <x:v>2</x:v>
      </x:c>
      <x:c r="O63" s="16">
        <x:f t="shared" si="0"/>
        <x:v>2</x:v>
      </x:c>
      <x:c r="P63" s="16">
        <x:f t="shared" si="1"/>
        <x:v>4</x:v>
      </x:c>
      <x:c r="Q63" s="16">
        <x:v>0</x:v>
      </x:c>
      <x:c r="R63" s="16">
        <x:v>0</x:v>
      </x:c>
      <x:c r="S63" s="16">
        <x:v>0</x:v>
      </x:c>
      <x:c r="T63" s="16">
        <x:v>1</x:v>
      </x:c>
      <x:c r="U63" s="16">
        <x:f t="shared" si="2"/>
        <x:v>0</x:v>
      </x:c>
      <x:c r="V63" s="16">
        <x:f t="shared" si="3"/>
        <x:v>0</x:v>
      </x:c>
      <x:c r="W63" s="16">
        <x:f t="shared" si="4"/>
        <x:v>0</x:v>
      </x:c>
      <x:c r="X63" s="16">
        <x:f t="shared" si="5"/>
        <x:v>4</x:v>
      </x:c>
    </x:row>
    <x:row r="64" ht="28.5" customHeight="1">
      <x:c r="A64" s="4" t="s">
        <x:v>241</x:v>
      </x:c>
      <x:c r="B64" s="4" t="s">
        <x:v>242</x:v>
      </x:c>
      <x:c r="C64" s="4" t="s">
        <x:v>13</x:v>
      </x:c>
      <x:c r="D64" s="18" t="s">
        <x:v>28</x:v>
      </x:c>
      <x:c r="E64" s="4" t="s">
        <x:v>223</x:v>
      </x:c>
      <x:c r="F64" s="4" t="s">
        <x:v>156</x:v>
      </x:c>
      <x:c r="G64" s="4" t="s">
        <x:v>65</x:v>
      </x:c>
      <x:c r="H64" s="4" t="s">
        <x:v>243</x:v>
      </x:c>
      <x:c r="I64" s="4" t="s">
        <x:v>219</x:v>
      </x:c>
      <x:c r="J64" s="4" t="s">
        <x:v>225</x:v>
      </x:c>
      <x:c r="K64" s="16">
        <x:v>2</x:v>
      </x:c>
      <x:c r="L64" s="16" t="s">
        <x:v>87</x:v>
      </x:c>
      <x:c r="M64" s="16">
        <x:v>1</x:v>
      </x:c>
      <x:c r="N64" s="16">
        <x:v>2</x:v>
      </x:c>
      <x:c r="O64" s="16">
        <x:f t="shared" si="0"/>
        <x:v>2</x:v>
      </x:c>
      <x:c r="P64" s="16">
        <x:f t="shared" si="1"/>
        <x:v>4</x:v>
      </x:c>
      <x:c r="Q64" s="16">
        <x:v>0</x:v>
      </x:c>
      <x:c r="R64" s="16">
        <x:v>0</x:v>
      </x:c>
      <x:c r="S64" s="16">
        <x:v>0</x:v>
      </x:c>
      <x:c r="T64" s="16">
        <x:v>-1</x:v>
      </x:c>
      <x:c r="U64" s="16">
        <x:f t="shared" si="2"/>
        <x:v>0</x:v>
      </x:c>
      <x:c r="V64" s="16">
        <x:f t="shared" si="3"/>
        <x:v>0</x:v>
      </x:c>
      <x:c r="W64" s="16">
        <x:f t="shared" si="4"/>
        <x:v>0</x:v>
      </x:c>
      <x:c r="X64" s="16">
        <x:f t="shared" si="5"/>
        <x:v>-4</x:v>
      </x:c>
    </x:row>
    <x:row r="65" ht="28.5" customHeight="1">
      <x:c r="A65" s="4" t="s">
        <x:v>244</x:v>
      </x:c>
      <x:c r="B65" s="4" t="s">
        <x:v>245</x:v>
      </x:c>
      <x:c r="C65" s="4" t="s">
        <x:v>15</x:v>
      </x:c>
      <x:c r="D65" s="19" t="s">
        <x:v>32</x:v>
      </x:c>
      <x:c r="E65" s="4" t="s">
        <x:v>246</x:v>
      </x:c>
      <x:c r="F65" s="4" t="s">
        <x:v>247</x:v>
      </x:c>
      <x:c r="G65" s="4" t="s">
        <x:v>65</x:v>
      </x:c>
      <x:c r="H65" s="4" t="s">
        <x:v>248</x:v>
      </x:c>
      <x:c r="I65" s="4" t="s">
        <x:v>249</x:v>
      </x:c>
      <x:c r="J65" s="4" t="s">
        <x:v>250</x:v>
      </x:c>
      <x:c r="K65" s="16">
        <x:v>3</x:v>
      </x:c>
      <x:c r="L65" s="16" t="s">
        <x:v>251</x:v>
      </x:c>
      <x:c r="M65" s="16">
        <x:v>0</x:v>
      </x:c>
      <x:c r="N65" s="16">
        <x:v>0</x:v>
      </x:c>
      <x:c r="O65" s="16">
        <x:f t="shared" si="0"/>
        <x:v>0</x:v>
      </x:c>
      <x:c r="P65" s="16">
        <x:f t="shared" si="1"/>
        <x:v>0</x:v>
      </x:c>
      <x:c r="Q65" s="16">
        <x:v>0</x:v>
      </x:c>
      <x:c r="R65" s="16">
        <x:v>0</x:v>
      </x:c>
      <x:c r="S65" s="16">
        <x:v>0</x:v>
      </x:c>
      <x:c r="T65" s="16">
        <x:v>0</x:v>
      </x:c>
      <x:c r="U65" s="16">
        <x:f t="shared" si="2"/>
        <x:v>0</x:v>
      </x:c>
      <x:c r="V65" s="16">
        <x:f t="shared" si="3"/>
        <x:v>0</x:v>
      </x:c>
      <x:c r="W65" s="16">
        <x:f t="shared" si="4"/>
        <x:v>0</x:v>
      </x:c>
      <x:c r="X65" s="16">
        <x:f t="shared" si="5"/>
        <x:v>0</x:v>
      </x:c>
    </x:row>
    <x:row r="66" ht="28.5" customHeight="1">
      <x:c r="A66" s="4" t="s">
        <x:v>252</x:v>
      </x:c>
      <x:c r="B66" s="4" t="s">
        <x:v>253</x:v>
      </x:c>
      <x:c r="C66" s="4" t="s">
        <x:v>15</x:v>
      </x:c>
      <x:c r="D66" s="19" t="s">
        <x:v>32</x:v>
      </x:c>
      <x:c r="E66" s="4" t="s">
        <x:v>246</x:v>
      </x:c>
      <x:c r="F66" s="4" t="s">
        <x:v>254</x:v>
      </x:c>
      <x:c r="G66" s="4" t="s">
        <x:v>65</x:v>
      </x:c>
      <x:c r="H66" s="4" t="s">
        <x:v>255</x:v>
      </x:c>
      <x:c r="I66" s="4" t="s">
        <x:v>249</x:v>
      </x:c>
      <x:c r="J66" s="4" t="s">
        <x:v>256</x:v>
      </x:c>
      <x:c r="K66" s="16">
        <x:v>3</x:v>
      </x:c>
      <x:c r="L66" s="16" t="s">
        <x:v>251</x:v>
      </x:c>
      <x:c r="M66" s="16">
        <x:v>0</x:v>
      </x:c>
      <x:c r="N66" s="16">
        <x:v>0</x:v>
      </x:c>
      <x:c r="O66" s="16">
        <x:f t="shared" si="0"/>
        <x:v>0</x:v>
      </x:c>
      <x:c r="P66" s="16">
        <x:f t="shared" si="1"/>
        <x:v>0</x:v>
      </x:c>
      <x:c r="Q66" s="16">
        <x:v>0</x:v>
      </x:c>
      <x:c r="R66" s="16">
        <x:v>0</x:v>
      </x:c>
      <x:c r="S66" s="16">
        <x:v>0</x:v>
      </x:c>
      <x:c r="T66" s="16">
        <x:v>0</x:v>
      </x:c>
      <x:c r="U66" s="16">
        <x:f t="shared" si="2"/>
        <x:v>0</x:v>
      </x:c>
      <x:c r="V66" s="16">
        <x:f t="shared" si="3"/>
        <x:v>0</x:v>
      </x:c>
      <x:c r="W66" s="16">
        <x:f t="shared" si="4"/>
        <x:v>0</x:v>
      </x:c>
      <x:c r="X66" s="16">
        <x:f t="shared" si="5"/>
        <x:v>0</x:v>
      </x:c>
    </x:row>
    <x:row r="67" ht="28.5" customHeight="1">
      <x:c r="A67" s="4" t="s">
        <x:v>257</x:v>
      </x:c>
      <x:c r="B67" s="4" t="s">
        <x:v>258</x:v>
      </x:c>
      <x:c r="C67" s="4" t="s">
        <x:v>15</x:v>
      </x:c>
      <x:c r="D67" s="19" t="s">
        <x:v>32</x:v>
      </x:c>
      <x:c r="E67" s="4" t="s">
        <x:v>259</x:v>
      </x:c>
      <x:c r="F67" s="4" t="s">
        <x:v>260</x:v>
      </x:c>
      <x:c r="G67" s="4" t="s">
        <x:v>65</x:v>
      </x:c>
      <x:c r="H67" s="4" t="s">
        <x:v>261</x:v>
      </x:c>
      <x:c r="I67" s="4" t="s">
        <x:v>249</x:v>
      </x:c>
      <x:c r="J67" s="4" t="s">
        <x:v>262</x:v>
      </x:c>
      <x:c r="K67" s="16">
        <x:v>4</x:v>
      </x:c>
      <x:c r="L67" s="16" t="s">
        <x:v>251</x:v>
      </x:c>
      <x:c r="M67" s="16">
        <x:v>0</x:v>
      </x:c>
      <x:c r="N67" s="16">
        <x:v>0</x:v>
      </x:c>
      <x:c r="O67" s="16">
        <x:f t="shared" si="0"/>
        <x:v>0</x:v>
      </x:c>
      <x:c r="P67" s="16">
        <x:f t="shared" si="1"/>
        <x:v>0</x:v>
      </x:c>
      <x:c r="Q67" s="16">
        <x:v>0</x:v>
      </x:c>
      <x:c r="R67" s="16">
        <x:v>0</x:v>
      </x:c>
      <x:c r="S67" s="16">
        <x:v>0</x:v>
      </x:c>
      <x:c r="T67" s="16">
        <x:v>0</x:v>
      </x:c>
      <x:c r="U67" s="16">
        <x:f t="shared" si="2"/>
        <x:v>0</x:v>
      </x:c>
      <x:c r="V67" s="16">
        <x:f t="shared" si="3"/>
        <x:v>0</x:v>
      </x:c>
      <x:c r="W67" s="16">
        <x:f t="shared" si="4"/>
        <x:v>0</x:v>
      </x:c>
      <x:c r="X67" s="16">
        <x:f t="shared" si="5"/>
        <x:v>0</x:v>
      </x:c>
    </x:row>
    <x:row r="68" ht="28.5" customHeight="1">
      <x:c r="A68" s="4" t="s">
        <x:v>263</x:v>
      </x:c>
      <x:c r="B68" s="4" t="s">
        <x:v>264</x:v>
      </x:c>
      <x:c r="C68" s="4" t="s">
        <x:v>15</x:v>
      </x:c>
      <x:c r="D68" s="19" t="s">
        <x:v>32</x:v>
      </x:c>
      <x:c r="E68" s="4" t="s">
        <x:v>265</x:v>
      </x:c>
      <x:c r="F68" s="4" t="s">
        <x:v>266</x:v>
      </x:c>
      <x:c r="G68" s="4" t="s">
        <x:v>65</x:v>
      </x:c>
      <x:c r="H68" s="4" t="s">
        <x:v>267</x:v>
      </x:c>
      <x:c r="I68" s="4" t="s">
        <x:v>249</x:v>
      </x:c>
      <x:c r="J68" s="4" t="s">
        <x:v>268</x:v>
      </x:c>
      <x:c r="K68" s="16">
        <x:v>4</x:v>
      </x:c>
      <x:c r="L68" s="16" t="s">
        <x:v>251</x:v>
      </x:c>
      <x:c r="M68" s="16">
        <x:v>0</x:v>
      </x:c>
      <x:c r="N68" s="16">
        <x:v>0</x:v>
      </x:c>
      <x:c r="O68" s="16">
        <x:f t="shared" si="0"/>
        <x:v>0</x:v>
      </x:c>
      <x:c r="P68" s="16">
        <x:f t="shared" si="1"/>
        <x:v>0</x:v>
      </x:c>
      <x:c r="Q68" s="16">
        <x:v>0</x:v>
      </x:c>
      <x:c r="R68" s="16">
        <x:v>0</x:v>
      </x:c>
      <x:c r="S68" s="16">
        <x:v>0</x:v>
      </x:c>
      <x:c r="T68" s="16">
        <x:v>0</x:v>
      </x:c>
      <x:c r="U68" s="16">
        <x:f t="shared" si="2"/>
        <x:v>0</x:v>
      </x:c>
      <x:c r="V68" s="16">
        <x:f t="shared" si="3"/>
        <x:v>0</x:v>
      </x:c>
      <x:c r="W68" s="16">
        <x:f t="shared" si="4"/>
        <x:v>0</x:v>
      </x:c>
      <x:c r="X68" s="16">
        <x:f t="shared" si="5"/>
        <x:v>0</x:v>
      </x:c>
    </x:row>
    <x:row r="69" ht="28.5" customHeight="1">
      <x:c r="A69" s="4" t="s">
        <x:v>269</x:v>
      </x:c>
      <x:c r="B69" s="4" t="s">
        <x:v>270</x:v>
      </x:c>
      <x:c r="C69" s="4" t="s">
        <x:v>15</x:v>
      </x:c>
      <x:c r="D69" s="19" t="s">
        <x:v>32</x:v>
      </x:c>
      <x:c r="E69" s="4" t="s">
        <x:v>271</x:v>
      </x:c>
      <x:c r="F69" s="4" t="s">
        <x:v>266</x:v>
      </x:c>
      <x:c r="G69" s="4" t="s">
        <x:v>65</x:v>
      </x:c>
      <x:c r="H69" s="4" t="s">
        <x:v>272</x:v>
      </x:c>
      <x:c r="I69" s="4" t="s">
        <x:v>249</x:v>
      </x:c>
      <x:c r="J69" s="4" t="s">
        <x:v>273</x:v>
      </x:c>
      <x:c r="K69" s="16">
        <x:v>4</x:v>
      </x:c>
      <x:c r="L69" s="16" t="s">
        <x:v>251</x:v>
      </x:c>
      <x:c r="M69" s="16">
        <x:v>0</x:v>
      </x:c>
      <x:c r="N69" s="16">
        <x:v>0</x:v>
      </x:c>
      <x:c r="O69" s="16" t="n">
        <x:f>M69*N69</x:f>
        <x:v>0</x:v>
      </x:c>
      <x:c r="P69" s="16" t="n">
        <x:f>K69*O69</x:f>
        <x:v>0</x:v>
      </x:c>
      <x:c r="Q69" s="16">
        <x:v>0</x:v>
      </x:c>
      <x:c r="R69" s="16">
        <x:v>0</x:v>
      </x:c>
      <x:c r="S69" s="16">
        <x:v>0</x:v>
      </x:c>
      <x:c r="T69" s="16">
        <x:v>0</x:v>
      </x:c>
      <x:c r="U69" s="16" t="n">
        <x:f>K69*N69*Q69</x:f>
        <x:v>0</x:v>
      </x:c>
      <x:c r="V69" s="16" t="n">
        <x:f>K69*N69*R69</x:f>
        <x:v>0</x:v>
      </x:c>
      <x:c r="W69" s="16" t="n">
        <x:f>K69*N69*S69</x:f>
        <x:v>0</x:v>
      </x:c>
      <x:c r="X69" s="16" t="n">
        <x:f>K69*N69*T69</x:f>
        <x:v>0</x:v>
      </x:c>
    </x:row>
    <x:row r="70" ht="28.5" customHeight="1">
      <x:c r="A70" s="4" t="s">
        <x:v>274</x:v>
      </x:c>
      <x:c r="B70" s="4" t="s">
        <x:v>275</x:v>
      </x:c>
      <x:c r="C70" s="4" t="s">
        <x:v>15</x:v>
      </x:c>
      <x:c r="D70" s="19" t="s">
        <x:v>32</x:v>
      </x:c>
      <x:c r="E70" s="4" t="s">
        <x:v>276</x:v>
      </x:c>
      <x:c r="F70" s="4" t="s">
        <x:v>277</x:v>
      </x:c>
      <x:c r="G70" s="4" t="s">
        <x:v>65</x:v>
      </x:c>
      <x:c r="H70" s="4" t="s">
        <x:v>278</x:v>
      </x:c>
      <x:c r="I70" s="4" t="s">
        <x:v>249</x:v>
      </x:c>
      <x:c r="J70" s="4" t="s">
        <x:v>279</x:v>
      </x:c>
      <x:c r="K70" s="16">
        <x:v>2</x:v>
      </x:c>
      <x:c r="L70" s="16" t="s">
        <x:v>251</x:v>
      </x:c>
      <x:c r="M70" s="16">
        <x:v>0</x:v>
      </x:c>
      <x:c r="N70" s="16">
        <x:v>0</x:v>
      </x:c>
      <x:c r="O70" s="16" t="n">
        <x:f>M70*N70</x:f>
        <x:v>0</x:v>
      </x:c>
      <x:c r="P70" s="16" t="n">
        <x:f>K70*O70</x:f>
        <x:v>0</x:v>
      </x:c>
      <x:c r="Q70" s="16">
        <x:v>0</x:v>
      </x:c>
      <x:c r="R70" s="16">
        <x:v>0</x:v>
      </x:c>
      <x:c r="S70" s="16">
        <x:v>0</x:v>
      </x:c>
      <x:c r="T70" s="16">
        <x:v>0</x:v>
      </x:c>
      <x:c r="U70" s="16" t="n">
        <x:f>K70*N70*Q70</x:f>
        <x:v>0</x:v>
      </x:c>
      <x:c r="V70" s="16" t="n">
        <x:f>K70*N70*R70</x:f>
        <x:v>0</x:v>
      </x:c>
      <x:c r="W70" s="16" t="n">
        <x:f>K70*N70*S70</x:f>
        <x:v>0</x:v>
      </x:c>
      <x:c r="X70" s="16" t="n">
        <x:f>K70*N70*T70</x:f>
        <x:v>0</x:v>
      </x:c>
    </x:row>
    <x:row r="71" ht="28.5" customHeight="1">
      <x:c r="A71" s="4" t="s">
        <x:v>280</x:v>
      </x:c>
      <x:c r="B71" s="4" t="s">
        <x:v>281</x:v>
      </x:c>
      <x:c r="C71" s="4" t="s">
        <x:v>15</x:v>
      </x:c>
      <x:c r="D71" s="19" t="s">
        <x:v>32</x:v>
      </x:c>
      <x:c r="E71" s="4" t="s">
        <x:v>282</x:v>
      </x:c>
      <x:c r="F71" s="4" t="s">
        <x:v>266</x:v>
      </x:c>
      <x:c r="G71" s="4" t="s">
        <x:v>65</x:v>
      </x:c>
      <x:c r="H71" s="4" t="s">
        <x:v>283</x:v>
      </x:c>
      <x:c r="I71" s="4" t="s">
        <x:v>249</x:v>
      </x:c>
      <x:c r="J71" s="4" t="s">
        <x:v>284</x:v>
      </x:c>
      <x:c r="K71" s="16">
        <x:v>4</x:v>
      </x:c>
      <x:c r="L71" s="16" t="s">
        <x:v>251</x:v>
      </x:c>
      <x:c r="M71" s="16">
        <x:v>0</x:v>
      </x:c>
      <x:c r="N71" s="16">
        <x:v>0</x:v>
      </x:c>
      <x:c r="O71" s="16" t="n">
        <x:f>M71*N71</x:f>
        <x:v>0</x:v>
      </x:c>
      <x:c r="P71" s="16" t="n">
        <x:f>K71*O71</x:f>
        <x:v>0</x:v>
      </x:c>
      <x:c r="Q71" s="16">
        <x:v>0</x:v>
      </x:c>
      <x:c r="R71" s="16">
        <x:v>0</x:v>
      </x:c>
      <x:c r="S71" s="16">
        <x:v>0</x:v>
      </x:c>
      <x:c r="T71" s="16">
        <x:v>0</x:v>
      </x:c>
      <x:c r="U71" s="16" t="n">
        <x:f>K71*N71*Q71</x:f>
        <x:v>0</x:v>
      </x:c>
      <x:c r="V71" s="16" t="n">
        <x:f>K71*N71*R71</x:f>
        <x:v>0</x:v>
      </x:c>
      <x:c r="W71" s="16" t="n">
        <x:f>K71*N71*S71</x:f>
        <x:v>0</x:v>
      </x:c>
      <x:c r="X71" s="16" t="n">
        <x:f>K71*N71*T71</x:f>
        <x:v>0</x:v>
      </x:c>
    </x:row>
  </x:sheetData>
  <x:mergeCells>
    <x:mergeCell ref="A1:X1"/>
    <x:mergeCell ref="A2:X2"/>
  </x:mergeCells>
  <x:pageMargins left="0.7" right="0.7" top="0.75" bottom="0.75" header="0.3" footer="0.3"/>
  <x:tableParts count="1">
    <x:tablePart xmlns:r="http://schemas.openxmlformats.org/officeDocument/2006/relationships" r:id="R7a2b5e384d2e42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13.75" customWidth="1"/>
    <x:col min="2" max="2" width="16.883333206176758" customWidth="1"/>
    <x:col min="3" max="3" width="10.25" customWidth="1"/>
    <x:col min="4" max="4" width="25" customWidth="1"/>
    <x:col min="5" max="5" width="18.75" customWidth="1"/>
    <x:col min="6" max="6" width="9.75" customWidth="1"/>
    <x:col min="7" max="7" width="15" customWidth="1"/>
    <x:col min="8" max="8" width="43.75" customWidth="1"/>
    <x:col min="9" max="9" width="30.633333206176758" customWidth="1"/>
    <x:col min="10" max="10" width="21.883333206176758" customWidth="1"/>
  </x:cols>
  <x:sheetData>
    <x:row r="1" ht="31.5" customHeight="1">
      <x:c r="A1" s="1" t="s">
        <x:v>285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7" customHeight="1">
      <x:c r="A2" s="2" t="str">
        <x:v>每行代表一张实际印刷牌；PI-MACRO-05—08 共 8 张，为成对配置的低位扶升与高位压降牌。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ht="27" customHeight="1">
      <x:c r="A4" s="3" t="s">
        <x:v>286</x:v>
      </x:c>
      <x:c r="B4" s="3" t="s">
        <x:v>38</x:v>
      </x:c>
      <x:c r="C4" s="3" t="s">
        <x:v>287</x:v>
      </x:c>
      <x:c r="D4" s="3" t="s">
        <x:v>39</x:v>
      </x:c>
      <x:c r="E4" s="3" t="s">
        <x:v>40</x:v>
      </x:c>
      <x:c r="F4" s="3" t="s">
        <x:v>41</x:v>
      </x:c>
      <x:c r="G4" s="3" t="s">
        <x:v>288</x:v>
      </x:c>
      <x:c r="H4" s="3" t="s">
        <x:v>45</x:v>
      </x:c>
      <x:c r="I4" s="3" t="s">
        <x:v>289</x:v>
      </x:c>
      <x:c r="J4" s="3" t="s">
        <x:v>47</x:v>
      </x:c>
    </x:row>
    <x:row r="5" ht="28.5" customHeight="1">
      <x:c r="A5" s="4" t="s">
        <x:v>290</x:v>
      </x:c>
      <x:c r="B5" s="4" t="s">
        <x:v>61</x:v>
      </x:c>
      <x:c r="C5" s="4">
        <x:v>1</x:v>
      </x:c>
      <x:c r="D5" s="4" t="s">
        <x:v>62</x:v>
      </x:c>
      <x:c r="E5" s="4" t="s">
        <x:v>9</x:v>
      </x:c>
      <x:c r="F5" s="4" t="s">
        <x:v>23</x:v>
      </x:c>
      <x:c r="G5" s="4" t="s">
        <x:v>64</x:v>
      </x:c>
      <x:c r="H5" s="4" t="s">
        <x:v>66</x:v>
      </x:c>
      <x:c r="I5" s="4" t="s">
        <x:v>67</x:v>
      </x:c>
      <x:c r="J5" s="4" t="s">
        <x:v>68</x:v>
      </x:c>
    </x:row>
    <x:row r="6" ht="28.5" customHeight="1">
      <x:c r="A6" s="4" t="s">
        <x:v>291</x:v>
      </x:c>
      <x:c r="B6" s="4" t="s">
        <x:v>61</x:v>
      </x:c>
      <x:c r="C6" s="4">
        <x:v>2</x:v>
      </x:c>
      <x:c r="D6" s="4" t="s">
        <x:v>62</x:v>
      </x:c>
      <x:c r="E6" s="4" t="s">
        <x:v>9</x:v>
      </x:c>
      <x:c r="F6" s="4" t="s">
        <x:v>23</x:v>
      </x:c>
      <x:c r="G6" s="4" t="s">
        <x:v>64</x:v>
      </x:c>
      <x:c r="H6" s="4" t="s">
        <x:v>66</x:v>
      </x:c>
      <x:c r="I6" s="4" t="s">
        <x:v>67</x:v>
      </x:c>
      <x:c r="J6" s="4" t="s">
        <x:v>68</x:v>
      </x:c>
    </x:row>
    <x:row r="7" ht="28.5" customHeight="1">
      <x:c r="A7" s="4" t="s">
        <x:v>292</x:v>
      </x:c>
      <x:c r="B7" s="4" t="s">
        <x:v>61</x:v>
      </x:c>
      <x:c r="C7" s="4">
        <x:v>3</x:v>
      </x:c>
      <x:c r="D7" s="4" t="s">
        <x:v>62</x:v>
      </x:c>
      <x:c r="E7" s="4" t="s">
        <x:v>9</x:v>
      </x:c>
      <x:c r="F7" s="4" t="s">
        <x:v>23</x:v>
      </x:c>
      <x:c r="G7" s="4" t="s">
        <x:v>64</x:v>
      </x:c>
      <x:c r="H7" s="4" t="s">
        <x:v>66</x:v>
      </x:c>
      <x:c r="I7" s="4" t="s">
        <x:v>67</x:v>
      </x:c>
      <x:c r="J7" s="4" t="s">
        <x:v>68</x:v>
      </x:c>
    </x:row>
    <x:row r="8" ht="28.5" customHeight="1">
      <x:c r="A8" s="4" t="s">
        <x:v>293</x:v>
      </x:c>
      <x:c r="B8" s="4" t="s">
        <x:v>70</x:v>
      </x:c>
      <x:c r="C8" s="4">
        <x:v>1</x:v>
      </x:c>
      <x:c r="D8" s="4" t="s">
        <x:v>71</x:v>
      </x:c>
      <x:c r="E8" s="4" t="s">
        <x:v>9</x:v>
      </x:c>
      <x:c r="F8" s="4" t="s">
        <x:v>23</x:v>
      </x:c>
      <x:c r="G8" s="4" t="s">
        <x:v>64</x:v>
      </x:c>
      <x:c r="H8" s="4" t="s">
        <x:v>66</x:v>
      </x:c>
      <x:c r="I8" s="4" t="s">
        <x:v>67</x:v>
      </x:c>
      <x:c r="J8" s="4" t="s">
        <x:v>68</x:v>
      </x:c>
    </x:row>
    <x:row r="9" ht="28.5" customHeight="1">
      <x:c r="A9" s="4" t="s">
        <x:v>294</x:v>
      </x:c>
      <x:c r="B9" s="4" t="s">
        <x:v>70</x:v>
      </x:c>
      <x:c r="C9" s="4">
        <x:v>2</x:v>
      </x:c>
      <x:c r="D9" s="4" t="s">
        <x:v>71</x:v>
      </x:c>
      <x:c r="E9" s="4" t="s">
        <x:v>9</x:v>
      </x:c>
      <x:c r="F9" s="4" t="s">
        <x:v>23</x:v>
      </x:c>
      <x:c r="G9" s="4" t="s">
        <x:v>64</x:v>
      </x:c>
      <x:c r="H9" s="4" t="s">
        <x:v>66</x:v>
      </x:c>
      <x:c r="I9" s="4" t="s">
        <x:v>67</x:v>
      </x:c>
      <x:c r="J9" s="4" t="s">
        <x:v>68</x:v>
      </x:c>
    </x:row>
    <x:row r="10" ht="28.5" customHeight="1">
      <x:c r="A10" s="4" t="s">
        <x:v>295</x:v>
      </x:c>
      <x:c r="B10" s="4" t="s">
        <x:v>70</x:v>
      </x:c>
      <x:c r="C10" s="4">
        <x:v>3</x:v>
      </x:c>
      <x:c r="D10" s="4" t="s">
        <x:v>71</x:v>
      </x:c>
      <x:c r="E10" s="4" t="s">
        <x:v>9</x:v>
      </x:c>
      <x:c r="F10" s="4" t="s">
        <x:v>23</x:v>
      </x:c>
      <x:c r="G10" s="4" t="s">
        <x:v>64</x:v>
      </x:c>
      <x:c r="H10" s="4" t="s">
        <x:v>66</x:v>
      </x:c>
      <x:c r="I10" s="4" t="s">
        <x:v>67</x:v>
      </x:c>
      <x:c r="J10" s="4" t="s">
        <x:v>68</x:v>
      </x:c>
    </x:row>
    <x:row r="11" ht="28.5" customHeight="1">
      <x:c r="A11" s="4" t="s">
        <x:v>296</x:v>
      </x:c>
      <x:c r="B11" s="4" t="s">
        <x:v>72</x:v>
      </x:c>
      <x:c r="C11" s="4">
        <x:v>1</x:v>
      </x:c>
      <x:c r="D11" s="4" t="s">
        <x:v>73</x:v>
      </x:c>
      <x:c r="E11" s="4" t="s">
        <x:v>9</x:v>
      </x:c>
      <x:c r="F11" s="4" t="s">
        <x:v>23</x:v>
      </x:c>
      <x:c r="G11" s="4" t="s">
        <x:v>64</x:v>
      </x:c>
      <x:c r="H11" s="4" t="s">
        <x:v>66</x:v>
      </x:c>
      <x:c r="I11" s="4" t="s">
        <x:v>67</x:v>
      </x:c>
      <x:c r="J11" s="4" t="s">
        <x:v>68</x:v>
      </x:c>
    </x:row>
    <x:row r="12" ht="28.5" customHeight="1">
      <x:c r="A12" s="4" t="s">
        <x:v>297</x:v>
      </x:c>
      <x:c r="B12" s="4" t="s">
        <x:v>72</x:v>
      </x:c>
      <x:c r="C12" s="4">
        <x:v>2</x:v>
      </x:c>
      <x:c r="D12" s="4" t="s">
        <x:v>73</x:v>
      </x:c>
      <x:c r="E12" s="4" t="s">
        <x:v>9</x:v>
      </x:c>
      <x:c r="F12" s="4" t="s">
        <x:v>23</x:v>
      </x:c>
      <x:c r="G12" s="4" t="s">
        <x:v>64</x:v>
      </x:c>
      <x:c r="H12" s="4" t="s">
        <x:v>66</x:v>
      </x:c>
      <x:c r="I12" s="4" t="s">
        <x:v>67</x:v>
      </x:c>
      <x:c r="J12" s="4" t="s">
        <x:v>68</x:v>
      </x:c>
    </x:row>
    <x:row r="13" ht="28.5" customHeight="1">
      <x:c r="A13" s="4" t="s">
        <x:v>298</x:v>
      </x:c>
      <x:c r="B13" s="4" t="s">
        <x:v>72</x:v>
      </x:c>
      <x:c r="C13" s="4">
        <x:v>3</x:v>
      </x:c>
      <x:c r="D13" s="4" t="s">
        <x:v>73</x:v>
      </x:c>
      <x:c r="E13" s="4" t="s">
        <x:v>9</x:v>
      </x:c>
      <x:c r="F13" s="4" t="s">
        <x:v>23</x:v>
      </x:c>
      <x:c r="G13" s="4" t="s">
        <x:v>64</x:v>
      </x:c>
      <x:c r="H13" s="4" t="s">
        <x:v>66</x:v>
      </x:c>
      <x:c r="I13" s="4" t="s">
        <x:v>67</x:v>
      </x:c>
      <x:c r="J13" s="4" t="s">
        <x:v>68</x:v>
      </x:c>
    </x:row>
    <x:row r="14" ht="28.5" customHeight="1">
      <x:c r="A14" s="4" t="s">
        <x:v>299</x:v>
      </x:c>
      <x:c r="B14" s="4" t="s">
        <x:v>74</x:v>
      </x:c>
      <x:c r="C14" s="4">
        <x:v>1</x:v>
      </x:c>
      <x:c r="D14" s="4" t="s">
        <x:v>75</x:v>
      </x:c>
      <x:c r="E14" s="4" t="s">
        <x:v>9</x:v>
      </x:c>
      <x:c r="F14" s="4" t="s">
        <x:v>24</x:v>
      </x:c>
      <x:c r="G14" s="4" t="s">
        <x:v>64</x:v>
      </x:c>
      <x:c r="H14" s="4" t="s">
        <x:v>76</x:v>
      </x:c>
      <x:c r="I14" s="4" t="s">
        <x:v>67</x:v>
      </x:c>
      <x:c r="J14" s="4" t="s">
        <x:v>77</x:v>
      </x:c>
    </x:row>
    <x:row r="15" ht="28.5" customHeight="1">
      <x:c r="A15" s="4" t="s">
        <x:v>300</x:v>
      </x:c>
      <x:c r="B15" s="4" t="s">
        <x:v>74</x:v>
      </x:c>
      <x:c r="C15" s="4">
        <x:v>2</x:v>
      </x:c>
      <x:c r="D15" s="4" t="s">
        <x:v>75</x:v>
      </x:c>
      <x:c r="E15" s="4" t="s">
        <x:v>9</x:v>
      </x:c>
      <x:c r="F15" s="4" t="s">
        <x:v>24</x:v>
      </x:c>
      <x:c r="G15" s="4" t="s">
        <x:v>64</x:v>
      </x:c>
      <x:c r="H15" s="4" t="s">
        <x:v>76</x:v>
      </x:c>
      <x:c r="I15" s="4" t="s">
        <x:v>67</x:v>
      </x:c>
      <x:c r="J15" s="4" t="s">
        <x:v>77</x:v>
      </x:c>
    </x:row>
    <x:row r="16" ht="28.5" customHeight="1">
      <x:c r="A16" s="4" t="s">
        <x:v>301</x:v>
      </x:c>
      <x:c r="B16" s="4" t="s">
        <x:v>78</x:v>
      </x:c>
      <x:c r="C16" s="4">
        <x:v>1</x:v>
      </x:c>
      <x:c r="D16" s="4" t="s">
        <x:v>79</x:v>
      </x:c>
      <x:c r="E16" s="4" t="s">
        <x:v>9</x:v>
      </x:c>
      <x:c r="F16" s="4" t="s">
        <x:v>26</x:v>
      </x:c>
      <x:c r="G16" s="4" t="s">
        <x:v>64</x:v>
      </x:c>
      <x:c r="H16" s="4" t="s">
        <x:v>80</x:v>
      </x:c>
      <x:c r="I16" s="4" t="s">
        <x:v>67</x:v>
      </x:c>
      <x:c r="J16" s="4" t="s">
        <x:v>81</x:v>
      </x:c>
    </x:row>
    <x:row r="17" ht="28.5" customHeight="1">
      <x:c r="A17" s="4" t="s">
        <x:v>302</x:v>
      </x:c>
      <x:c r="B17" s="4" t="s">
        <x:v>82</x:v>
      </x:c>
      <x:c r="C17" s="4">
        <x:v>1</x:v>
      </x:c>
      <x:c r="D17" s="4" t="s">
        <x:v>83</x:v>
      </x:c>
      <x:c r="E17" s="4" t="s">
        <x:v>9</x:v>
      </x:c>
      <x:c r="F17" s="4" t="s">
        <x:v>23</x:v>
      </x:c>
      <x:c r="G17" s="4" t="s">
        <x:v>64</x:v>
      </x:c>
      <x:c r="H17" s="4" t="s">
        <x:v>85</x:v>
      </x:c>
      <x:c r="I17" s="4" t="s">
        <x:v>67</x:v>
      </x:c>
      <x:c r="J17" s="4" t="s">
        <x:v>86</x:v>
      </x:c>
    </x:row>
    <x:row r="18" ht="28.5" customHeight="1">
      <x:c r="A18" s="4" t="s">
        <x:v>303</x:v>
      </x:c>
      <x:c r="B18" s="4" t="s">
        <x:v>82</x:v>
      </x:c>
      <x:c r="C18" s="4">
        <x:v>2</x:v>
      </x:c>
      <x:c r="D18" s="4" t="s">
        <x:v>83</x:v>
      </x:c>
      <x:c r="E18" s="4" t="s">
        <x:v>9</x:v>
      </x:c>
      <x:c r="F18" s="4" t="s">
        <x:v>23</x:v>
      </x:c>
      <x:c r="G18" s="4" t="s">
        <x:v>64</x:v>
      </x:c>
      <x:c r="H18" s="4" t="s">
        <x:v>85</x:v>
      </x:c>
      <x:c r="I18" s="4" t="s">
        <x:v>67</x:v>
      </x:c>
      <x:c r="J18" s="4" t="s">
        <x:v>86</x:v>
      </x:c>
    </x:row>
    <x:row r="19" ht="28.5" customHeight="1">
      <x:c r="A19" s="4" t="s">
        <x:v>304</x:v>
      </x:c>
      <x:c r="B19" s="4" t="s">
        <x:v>82</x:v>
      </x:c>
      <x:c r="C19" s="4">
        <x:v>3</x:v>
      </x:c>
      <x:c r="D19" s="4" t="s">
        <x:v>83</x:v>
      </x:c>
      <x:c r="E19" s="4" t="s">
        <x:v>9</x:v>
      </x:c>
      <x:c r="F19" s="4" t="s">
        <x:v>23</x:v>
      </x:c>
      <x:c r="G19" s="4" t="s">
        <x:v>64</x:v>
      </x:c>
      <x:c r="H19" s="4" t="s">
        <x:v>85</x:v>
      </x:c>
      <x:c r="I19" s="4" t="s">
        <x:v>67</x:v>
      </x:c>
      <x:c r="J19" s="4" t="s">
        <x:v>86</x:v>
      </x:c>
    </x:row>
    <x:row r="20" ht="28.5" customHeight="1">
      <x:c r="A20" s="4" t="s">
        <x:v>305</x:v>
      </x:c>
      <x:c r="B20" s="4" t="s">
        <x:v>88</x:v>
      </x:c>
      <x:c r="C20" s="4">
        <x:v>1</x:v>
      </x:c>
      <x:c r="D20" s="4" t="s">
        <x:v>89</x:v>
      </x:c>
      <x:c r="E20" s="4" t="s">
        <x:v>9</x:v>
      </x:c>
      <x:c r="F20" s="4" t="s">
        <x:v>23</x:v>
      </x:c>
      <x:c r="G20" s="4" t="s">
        <x:v>64</x:v>
      </x:c>
      <x:c r="H20" s="4" t="s">
        <x:v>85</x:v>
      </x:c>
      <x:c r="I20" s="4" t="s">
        <x:v>67</x:v>
      </x:c>
      <x:c r="J20" s="4" t="s">
        <x:v>86</x:v>
      </x:c>
    </x:row>
    <x:row r="21" ht="28.5" customHeight="1">
      <x:c r="A21" s="4" t="s">
        <x:v>306</x:v>
      </x:c>
      <x:c r="B21" s="4" t="s">
        <x:v>88</x:v>
      </x:c>
      <x:c r="C21" s="4">
        <x:v>2</x:v>
      </x:c>
      <x:c r="D21" s="4" t="s">
        <x:v>89</x:v>
      </x:c>
      <x:c r="E21" s="4" t="s">
        <x:v>9</x:v>
      </x:c>
      <x:c r="F21" s="4" t="s">
        <x:v>23</x:v>
      </x:c>
      <x:c r="G21" s="4" t="s">
        <x:v>64</x:v>
      </x:c>
      <x:c r="H21" s="4" t="s">
        <x:v>85</x:v>
      </x:c>
      <x:c r="I21" s="4" t="s">
        <x:v>67</x:v>
      </x:c>
      <x:c r="J21" s="4" t="s">
        <x:v>86</x:v>
      </x:c>
    </x:row>
    <x:row r="22" ht="28.5" customHeight="1">
      <x:c r="A22" s="4" t="s">
        <x:v>307</x:v>
      </x:c>
      <x:c r="B22" s="4" t="s">
        <x:v>88</x:v>
      </x:c>
      <x:c r="C22" s="4">
        <x:v>3</x:v>
      </x:c>
      <x:c r="D22" s="4" t="s">
        <x:v>89</x:v>
      </x:c>
      <x:c r="E22" s="4" t="s">
        <x:v>9</x:v>
      </x:c>
      <x:c r="F22" s="4" t="s">
        <x:v>23</x:v>
      </x:c>
      <x:c r="G22" s="4" t="s">
        <x:v>64</x:v>
      </x:c>
      <x:c r="H22" s="4" t="s">
        <x:v>85</x:v>
      </x:c>
      <x:c r="I22" s="4" t="s">
        <x:v>67</x:v>
      </x:c>
      <x:c r="J22" s="4" t="s">
        <x:v>86</x:v>
      </x:c>
    </x:row>
    <x:row r="23" ht="28.5" customHeight="1">
      <x:c r="A23" s="4" t="s">
        <x:v>308</x:v>
      </x:c>
      <x:c r="B23" s="4" t="s">
        <x:v>90</x:v>
      </x:c>
      <x:c r="C23" s="4">
        <x:v>1</x:v>
      </x:c>
      <x:c r="D23" s="4" t="s">
        <x:v>91</x:v>
      </x:c>
      <x:c r="E23" s="4" t="s">
        <x:v>9</x:v>
      </x:c>
      <x:c r="F23" s="4" t="s">
        <x:v>23</x:v>
      </x:c>
      <x:c r="G23" s="4" t="s">
        <x:v>64</x:v>
      </x:c>
      <x:c r="H23" s="4" t="s">
        <x:v>85</x:v>
      </x:c>
      <x:c r="I23" s="4" t="s">
        <x:v>67</x:v>
      </x:c>
      <x:c r="J23" s="4" t="s">
        <x:v>86</x:v>
      </x:c>
    </x:row>
    <x:row r="24" ht="28.5" customHeight="1">
      <x:c r="A24" s="4" t="s">
        <x:v>309</x:v>
      </x:c>
      <x:c r="B24" s="4" t="s">
        <x:v>90</x:v>
      </x:c>
      <x:c r="C24" s="4">
        <x:v>2</x:v>
      </x:c>
      <x:c r="D24" s="4" t="s">
        <x:v>91</x:v>
      </x:c>
      <x:c r="E24" s="4" t="s">
        <x:v>9</x:v>
      </x:c>
      <x:c r="F24" s="4" t="s">
        <x:v>23</x:v>
      </x:c>
      <x:c r="G24" s="4" t="s">
        <x:v>64</x:v>
      </x:c>
      <x:c r="H24" s="4" t="s">
        <x:v>85</x:v>
      </x:c>
      <x:c r="I24" s="4" t="s">
        <x:v>67</x:v>
      </x:c>
      <x:c r="J24" s="4" t="s">
        <x:v>86</x:v>
      </x:c>
    </x:row>
    <x:row r="25" ht="28.5" customHeight="1">
      <x:c r="A25" s="4" t="s">
        <x:v>310</x:v>
      </x:c>
      <x:c r="B25" s="4" t="s">
        <x:v>90</x:v>
      </x:c>
      <x:c r="C25" s="4">
        <x:v>3</x:v>
      </x:c>
      <x:c r="D25" s="4" t="s">
        <x:v>91</x:v>
      </x:c>
      <x:c r="E25" s="4" t="s">
        <x:v>9</x:v>
      </x:c>
      <x:c r="F25" s="4" t="s">
        <x:v>23</x:v>
      </x:c>
      <x:c r="G25" s="4" t="s">
        <x:v>64</x:v>
      </x:c>
      <x:c r="H25" s="4" t="s">
        <x:v>85</x:v>
      </x:c>
      <x:c r="I25" s="4" t="s">
        <x:v>67</x:v>
      </x:c>
      <x:c r="J25" s="4" t="s">
        <x:v>86</x:v>
      </x:c>
    </x:row>
    <x:row r="26" ht="28.5" customHeight="1">
      <x:c r="A26" s="4" t="s">
        <x:v>311</x:v>
      </x:c>
      <x:c r="B26" s="4" t="s">
        <x:v>92</x:v>
      </x:c>
      <x:c r="C26" s="4">
        <x:v>1</x:v>
      </x:c>
      <x:c r="D26" s="4" t="s">
        <x:v>93</x:v>
      </x:c>
      <x:c r="E26" s="4" t="s">
        <x:v>9</x:v>
      </x:c>
      <x:c r="F26" s="4" t="s">
        <x:v>24</x:v>
      </x:c>
      <x:c r="G26" s="4" t="s">
        <x:v>64</x:v>
      </x:c>
      <x:c r="H26" s="4" t="s">
        <x:v>94</x:v>
      </x:c>
      <x:c r="I26" s="4" t="s">
        <x:v>67</x:v>
      </x:c>
      <x:c r="J26" s="4" t="s">
        <x:v>95</x:v>
      </x:c>
    </x:row>
    <x:row r="27" ht="28.5" customHeight="1">
      <x:c r="A27" s="4" t="s">
        <x:v>312</x:v>
      </x:c>
      <x:c r="B27" s="4" t="s">
        <x:v>92</x:v>
      </x:c>
      <x:c r="C27" s="4">
        <x:v>2</x:v>
      </x:c>
      <x:c r="D27" s="4" t="s">
        <x:v>93</x:v>
      </x:c>
      <x:c r="E27" s="4" t="s">
        <x:v>9</x:v>
      </x:c>
      <x:c r="F27" s="4" t="s">
        <x:v>24</x:v>
      </x:c>
      <x:c r="G27" s="4" t="s">
        <x:v>64</x:v>
      </x:c>
      <x:c r="H27" s="4" t="s">
        <x:v>94</x:v>
      </x:c>
      <x:c r="I27" s="4" t="s">
        <x:v>67</x:v>
      </x:c>
      <x:c r="J27" s="4" t="s">
        <x:v>95</x:v>
      </x:c>
    </x:row>
    <x:row r="28" ht="28.5" customHeight="1">
      <x:c r="A28" s="4" t="s">
        <x:v>313</x:v>
      </x:c>
      <x:c r="B28" s="4" t="s">
        <x:v>96</x:v>
      </x:c>
      <x:c r="C28" s="4">
        <x:v>1</x:v>
      </x:c>
      <x:c r="D28" s="4" t="s">
        <x:v>97</x:v>
      </x:c>
      <x:c r="E28" s="4" t="s">
        <x:v>9</x:v>
      </x:c>
      <x:c r="F28" s="4" t="s">
        <x:v>26</x:v>
      </x:c>
      <x:c r="G28" s="4" t="s">
        <x:v>64</x:v>
      </x:c>
      <x:c r="H28" s="4" t="s">
        <x:v>98</x:v>
      </x:c>
      <x:c r="I28" s="4" t="s">
        <x:v>67</x:v>
      </x:c>
      <x:c r="J28" s="4" t="s">
        <x:v>99</x:v>
      </x:c>
    </x:row>
    <x:row r="29" ht="28.5" customHeight="1">
      <x:c r="A29" s="4" t="s">
        <x:v>314</x:v>
      </x:c>
      <x:c r="B29" s="4" t="s">
        <x:v>100</x:v>
      </x:c>
      <x:c r="C29" s="4">
        <x:v>1</x:v>
      </x:c>
      <x:c r="D29" s="4" t="s">
        <x:v>101</x:v>
      </x:c>
      <x:c r="E29" s="4" t="s">
        <x:v>9</x:v>
      </x:c>
      <x:c r="F29" s="4" t="s">
        <x:v>23</x:v>
      </x:c>
      <x:c r="G29" s="4" t="s">
        <x:v>102</x:v>
      </x:c>
      <x:c r="H29" s="4" t="s">
        <x:v>103</x:v>
      </x:c>
      <x:c r="I29" s="4" t="s">
        <x:v>67</x:v>
      </x:c>
      <x:c r="J29" s="4" t="s">
        <x:v>68</x:v>
      </x:c>
    </x:row>
    <x:row r="30" ht="28.5" customHeight="1">
      <x:c r="A30" s="4" t="s">
        <x:v>315</x:v>
      </x:c>
      <x:c r="B30" s="4" t="s">
        <x:v>100</x:v>
      </x:c>
      <x:c r="C30" s="4">
        <x:v>2</x:v>
      </x:c>
      <x:c r="D30" s="4" t="s">
        <x:v>101</x:v>
      </x:c>
      <x:c r="E30" s="4" t="s">
        <x:v>9</x:v>
      </x:c>
      <x:c r="F30" s="4" t="s">
        <x:v>23</x:v>
      </x:c>
      <x:c r="G30" s="4" t="s">
        <x:v>102</x:v>
      </x:c>
      <x:c r="H30" s="4" t="s">
        <x:v>103</x:v>
      </x:c>
      <x:c r="I30" s="4" t="s">
        <x:v>67</x:v>
      </x:c>
      <x:c r="J30" s="4" t="s">
        <x:v>68</x:v>
      </x:c>
    </x:row>
    <x:row r="31" ht="28.5" customHeight="1">
      <x:c r="A31" s="4" t="s">
        <x:v>316</x:v>
      </x:c>
      <x:c r="B31" s="4" t="s">
        <x:v>100</x:v>
      </x:c>
      <x:c r="C31" s="4">
        <x:v>3</x:v>
      </x:c>
      <x:c r="D31" s="4" t="s">
        <x:v>101</x:v>
      </x:c>
      <x:c r="E31" s="4" t="s">
        <x:v>9</x:v>
      </x:c>
      <x:c r="F31" s="4" t="s">
        <x:v>23</x:v>
      </x:c>
      <x:c r="G31" s="4" t="s">
        <x:v>102</x:v>
      </x:c>
      <x:c r="H31" s="4" t="s">
        <x:v>103</x:v>
      </x:c>
      <x:c r="I31" s="4" t="s">
        <x:v>67</x:v>
      </x:c>
      <x:c r="J31" s="4" t="s">
        <x:v>68</x:v>
      </x:c>
    </x:row>
    <x:row r="32" ht="28.5" customHeight="1">
      <x:c r="A32" s="4" t="s">
        <x:v>317</x:v>
      </x:c>
      <x:c r="B32" s="4" t="s">
        <x:v>104</x:v>
      </x:c>
      <x:c r="C32" s="4">
        <x:v>1</x:v>
      </x:c>
      <x:c r="D32" s="4" t="s">
        <x:v>105</x:v>
      </x:c>
      <x:c r="E32" s="4" t="s">
        <x:v>9</x:v>
      </x:c>
      <x:c r="F32" s="4" t="s">
        <x:v>23</x:v>
      </x:c>
      <x:c r="G32" s="4" t="s">
        <x:v>102</x:v>
      </x:c>
      <x:c r="H32" s="4" t="s">
        <x:v>103</x:v>
      </x:c>
      <x:c r="I32" s="4" t="s">
        <x:v>67</x:v>
      </x:c>
      <x:c r="J32" s="4" t="s">
        <x:v>68</x:v>
      </x:c>
    </x:row>
    <x:row r="33" ht="28.5" customHeight="1">
      <x:c r="A33" s="4" t="s">
        <x:v>318</x:v>
      </x:c>
      <x:c r="B33" s="4" t="s">
        <x:v>104</x:v>
      </x:c>
      <x:c r="C33" s="4">
        <x:v>2</x:v>
      </x:c>
      <x:c r="D33" s="4" t="s">
        <x:v>105</x:v>
      </x:c>
      <x:c r="E33" s="4" t="s">
        <x:v>9</x:v>
      </x:c>
      <x:c r="F33" s="4" t="s">
        <x:v>23</x:v>
      </x:c>
      <x:c r="G33" s="4" t="s">
        <x:v>102</x:v>
      </x:c>
      <x:c r="H33" s="4" t="s">
        <x:v>103</x:v>
      </x:c>
      <x:c r="I33" s="4" t="s">
        <x:v>67</x:v>
      </x:c>
      <x:c r="J33" s="4" t="s">
        <x:v>68</x:v>
      </x:c>
    </x:row>
    <x:row r="34" ht="28.5" customHeight="1">
      <x:c r="A34" s="4" t="s">
        <x:v>319</x:v>
      </x:c>
      <x:c r="B34" s="4" t="s">
        <x:v>104</x:v>
      </x:c>
      <x:c r="C34" s="4">
        <x:v>3</x:v>
      </x:c>
      <x:c r="D34" s="4" t="s">
        <x:v>105</x:v>
      </x:c>
      <x:c r="E34" s="4" t="s">
        <x:v>9</x:v>
      </x:c>
      <x:c r="F34" s="4" t="s">
        <x:v>23</x:v>
      </x:c>
      <x:c r="G34" s="4" t="s">
        <x:v>102</x:v>
      </x:c>
      <x:c r="H34" s="4" t="s">
        <x:v>103</x:v>
      </x:c>
      <x:c r="I34" s="4" t="s">
        <x:v>67</x:v>
      </x:c>
      <x:c r="J34" s="4" t="s">
        <x:v>68</x:v>
      </x:c>
    </x:row>
    <x:row r="35" ht="28.5" customHeight="1">
      <x:c r="A35" s="4" t="s">
        <x:v>320</x:v>
      </x:c>
      <x:c r="B35" s="4" t="s">
        <x:v>106</x:v>
      </x:c>
      <x:c r="C35" s="4">
        <x:v>1</x:v>
      </x:c>
      <x:c r="D35" s="4" t="s">
        <x:v>107</x:v>
      </x:c>
      <x:c r="E35" s="4" t="s">
        <x:v>9</x:v>
      </x:c>
      <x:c r="F35" s="4" t="s">
        <x:v>23</x:v>
      </x:c>
      <x:c r="G35" s="4" t="s">
        <x:v>102</x:v>
      </x:c>
      <x:c r="H35" s="4" t="s">
        <x:v>103</x:v>
      </x:c>
      <x:c r="I35" s="4" t="s">
        <x:v>67</x:v>
      </x:c>
      <x:c r="J35" s="4" t="s">
        <x:v>68</x:v>
      </x:c>
    </x:row>
    <x:row r="36" ht="28.5" customHeight="1">
      <x:c r="A36" s="4" t="s">
        <x:v>321</x:v>
      </x:c>
      <x:c r="B36" s="4" t="s">
        <x:v>106</x:v>
      </x:c>
      <x:c r="C36" s="4">
        <x:v>2</x:v>
      </x:c>
      <x:c r="D36" s="4" t="s">
        <x:v>107</x:v>
      </x:c>
      <x:c r="E36" s="4" t="s">
        <x:v>9</x:v>
      </x:c>
      <x:c r="F36" s="4" t="s">
        <x:v>23</x:v>
      </x:c>
      <x:c r="G36" s="4" t="s">
        <x:v>102</x:v>
      </x:c>
      <x:c r="H36" s="4" t="s">
        <x:v>103</x:v>
      </x:c>
      <x:c r="I36" s="4" t="s">
        <x:v>67</x:v>
      </x:c>
      <x:c r="J36" s="4" t="s">
        <x:v>68</x:v>
      </x:c>
    </x:row>
    <x:row r="37" ht="28.5" customHeight="1">
      <x:c r="A37" s="4" t="s">
        <x:v>322</x:v>
      </x:c>
      <x:c r="B37" s="4" t="s">
        <x:v>106</x:v>
      </x:c>
      <x:c r="C37" s="4">
        <x:v>3</x:v>
      </x:c>
      <x:c r="D37" s="4" t="s">
        <x:v>107</x:v>
      </x:c>
      <x:c r="E37" s="4" t="s">
        <x:v>9</x:v>
      </x:c>
      <x:c r="F37" s="4" t="s">
        <x:v>23</x:v>
      </x:c>
      <x:c r="G37" s="4" t="s">
        <x:v>102</x:v>
      </x:c>
      <x:c r="H37" s="4" t="s">
        <x:v>103</x:v>
      </x:c>
      <x:c r="I37" s="4" t="s">
        <x:v>67</x:v>
      </x:c>
      <x:c r="J37" s="4" t="s">
        <x:v>68</x:v>
      </x:c>
    </x:row>
    <x:row r="38" ht="28.5" customHeight="1">
      <x:c r="A38" s="4" t="s">
        <x:v>323</x:v>
      </x:c>
      <x:c r="B38" s="4" t="s">
        <x:v>108</x:v>
      </x:c>
      <x:c r="C38" s="4">
        <x:v>1</x:v>
      </x:c>
      <x:c r="D38" s="4" t="s">
        <x:v>109</x:v>
      </x:c>
      <x:c r="E38" s="4" t="s">
        <x:v>9</x:v>
      </x:c>
      <x:c r="F38" s="4" t="s">
        <x:v>24</x:v>
      </x:c>
      <x:c r="G38" s="4" t="s">
        <x:v>102</x:v>
      </x:c>
      <x:c r="H38" s="4" t="s">
        <x:v>110</x:v>
      </x:c>
      <x:c r="I38" s="4" t="s">
        <x:v>67</x:v>
      </x:c>
      <x:c r="J38" s="4" t="s">
        <x:v>77</x:v>
      </x:c>
    </x:row>
    <x:row r="39" ht="28.5" customHeight="1">
      <x:c r="A39" s="4" t="s">
        <x:v>324</x:v>
      </x:c>
      <x:c r="B39" s="4" t="s">
        <x:v>108</x:v>
      </x:c>
      <x:c r="C39" s="4">
        <x:v>2</x:v>
      </x:c>
      <x:c r="D39" s="4" t="s">
        <x:v>109</x:v>
      </x:c>
      <x:c r="E39" s="4" t="s">
        <x:v>9</x:v>
      </x:c>
      <x:c r="F39" s="4" t="s">
        <x:v>24</x:v>
      </x:c>
      <x:c r="G39" s="4" t="s">
        <x:v>102</x:v>
      </x:c>
      <x:c r="H39" s="4" t="s">
        <x:v>110</x:v>
      </x:c>
      <x:c r="I39" s="4" t="s">
        <x:v>67</x:v>
      </x:c>
      <x:c r="J39" s="4" t="s">
        <x:v>77</x:v>
      </x:c>
    </x:row>
    <x:row r="40" ht="28.5" customHeight="1">
      <x:c r="A40" s="4" t="s">
        <x:v>325</x:v>
      </x:c>
      <x:c r="B40" s="4" t="s">
        <x:v>111</x:v>
      </x:c>
      <x:c r="C40" s="4">
        <x:v>1</x:v>
      </x:c>
      <x:c r="D40" s="4" t="s">
        <x:v>112</x:v>
      </x:c>
      <x:c r="E40" s="4" t="s">
        <x:v>9</x:v>
      </x:c>
      <x:c r="F40" s="4" t="s">
        <x:v>26</x:v>
      </x:c>
      <x:c r="G40" s="4" t="s">
        <x:v>102</x:v>
      </x:c>
      <x:c r="H40" s="4" t="s">
        <x:v>113</x:v>
      </x:c>
      <x:c r="I40" s="4" t="s">
        <x:v>67</x:v>
      </x:c>
      <x:c r="J40" s="4" t="s">
        <x:v>81</x:v>
      </x:c>
    </x:row>
    <x:row r="41" ht="28.5" customHeight="1">
      <x:c r="A41" s="4" t="s">
        <x:v>326</x:v>
      </x:c>
      <x:c r="B41" s="4" t="s">
        <x:v>114</x:v>
      </x:c>
      <x:c r="C41" s="4">
        <x:v>1</x:v>
      </x:c>
      <x:c r="D41" s="4" t="s">
        <x:v>115</x:v>
      </x:c>
      <x:c r="E41" s="4" t="s">
        <x:v>9</x:v>
      </x:c>
      <x:c r="F41" s="4" t="s">
        <x:v>23</x:v>
      </x:c>
      <x:c r="G41" s="4" t="s">
        <x:v>102</x:v>
      </x:c>
      <x:c r="H41" s="4" t="s">
        <x:v>116</x:v>
      </x:c>
      <x:c r="I41" s="4" t="s">
        <x:v>67</x:v>
      </x:c>
      <x:c r="J41" s="4" t="s">
        <x:v>86</x:v>
      </x:c>
    </x:row>
    <x:row r="42" ht="28.5" customHeight="1">
      <x:c r="A42" s="4" t="s">
        <x:v>327</x:v>
      </x:c>
      <x:c r="B42" s="4" t="s">
        <x:v>114</x:v>
      </x:c>
      <x:c r="C42" s="4">
        <x:v>2</x:v>
      </x:c>
      <x:c r="D42" s="4" t="s">
        <x:v>115</x:v>
      </x:c>
      <x:c r="E42" s="4" t="s">
        <x:v>9</x:v>
      </x:c>
      <x:c r="F42" s="4" t="s">
        <x:v>23</x:v>
      </x:c>
      <x:c r="G42" s="4" t="s">
        <x:v>102</x:v>
      </x:c>
      <x:c r="H42" s="4" t="s">
        <x:v>116</x:v>
      </x:c>
      <x:c r="I42" s="4" t="s">
        <x:v>67</x:v>
      </x:c>
      <x:c r="J42" s="4" t="s">
        <x:v>86</x:v>
      </x:c>
    </x:row>
    <x:row r="43" ht="28.5" customHeight="1">
      <x:c r="A43" s="4" t="s">
        <x:v>328</x:v>
      </x:c>
      <x:c r="B43" s="4" t="s">
        <x:v>114</x:v>
      </x:c>
      <x:c r="C43" s="4">
        <x:v>3</x:v>
      </x:c>
      <x:c r="D43" s="4" t="s">
        <x:v>115</x:v>
      </x:c>
      <x:c r="E43" s="4" t="s">
        <x:v>9</x:v>
      </x:c>
      <x:c r="F43" s="4" t="s">
        <x:v>23</x:v>
      </x:c>
      <x:c r="G43" s="4" t="s">
        <x:v>102</x:v>
      </x:c>
      <x:c r="H43" s="4" t="s">
        <x:v>116</x:v>
      </x:c>
      <x:c r="I43" s="4" t="s">
        <x:v>67</x:v>
      </x:c>
      <x:c r="J43" s="4" t="s">
        <x:v>86</x:v>
      </x:c>
    </x:row>
    <x:row r="44" ht="28.5" customHeight="1">
      <x:c r="A44" s="4" t="s">
        <x:v>329</x:v>
      </x:c>
      <x:c r="B44" s="4" t="s">
        <x:v>117</x:v>
      </x:c>
      <x:c r="C44" s="4">
        <x:v>1</x:v>
      </x:c>
      <x:c r="D44" s="4" t="s">
        <x:v>118</x:v>
      </x:c>
      <x:c r="E44" s="4" t="s">
        <x:v>9</x:v>
      </x:c>
      <x:c r="F44" s="4" t="s">
        <x:v>23</x:v>
      </x:c>
      <x:c r="G44" s="4" t="s">
        <x:v>102</x:v>
      </x:c>
      <x:c r="H44" s="4" t="s">
        <x:v>116</x:v>
      </x:c>
      <x:c r="I44" s="4" t="s">
        <x:v>67</x:v>
      </x:c>
      <x:c r="J44" s="4" t="s">
        <x:v>86</x:v>
      </x:c>
    </x:row>
    <x:row r="45" ht="28.5" customHeight="1">
      <x:c r="A45" s="4" t="s">
        <x:v>330</x:v>
      </x:c>
      <x:c r="B45" s="4" t="s">
        <x:v>117</x:v>
      </x:c>
      <x:c r="C45" s="4">
        <x:v>2</x:v>
      </x:c>
      <x:c r="D45" s="4" t="s">
        <x:v>118</x:v>
      </x:c>
      <x:c r="E45" s="4" t="s">
        <x:v>9</x:v>
      </x:c>
      <x:c r="F45" s="4" t="s">
        <x:v>23</x:v>
      </x:c>
      <x:c r="G45" s="4" t="s">
        <x:v>102</x:v>
      </x:c>
      <x:c r="H45" s="4" t="s">
        <x:v>116</x:v>
      </x:c>
      <x:c r="I45" s="4" t="s">
        <x:v>67</x:v>
      </x:c>
      <x:c r="J45" s="4" t="s">
        <x:v>86</x:v>
      </x:c>
    </x:row>
    <x:row r="46" ht="28.5" customHeight="1">
      <x:c r="A46" s="4" t="s">
        <x:v>331</x:v>
      </x:c>
      <x:c r="B46" s="4" t="s">
        <x:v>117</x:v>
      </x:c>
      <x:c r="C46" s="4">
        <x:v>3</x:v>
      </x:c>
      <x:c r="D46" s="4" t="s">
        <x:v>118</x:v>
      </x:c>
      <x:c r="E46" s="4" t="s">
        <x:v>9</x:v>
      </x:c>
      <x:c r="F46" s="4" t="s">
        <x:v>23</x:v>
      </x:c>
      <x:c r="G46" s="4" t="s">
        <x:v>102</x:v>
      </x:c>
      <x:c r="H46" s="4" t="s">
        <x:v>116</x:v>
      </x:c>
      <x:c r="I46" s="4" t="s">
        <x:v>67</x:v>
      </x:c>
      <x:c r="J46" s="4" t="s">
        <x:v>86</x:v>
      </x:c>
    </x:row>
    <x:row r="47" ht="28.5" customHeight="1">
      <x:c r="A47" s="4" t="s">
        <x:v>332</x:v>
      </x:c>
      <x:c r="B47" s="4" t="s">
        <x:v>119</x:v>
      </x:c>
      <x:c r="C47" s="4">
        <x:v>1</x:v>
      </x:c>
      <x:c r="D47" s="4" t="s">
        <x:v>120</x:v>
      </x:c>
      <x:c r="E47" s="4" t="s">
        <x:v>9</x:v>
      </x:c>
      <x:c r="F47" s="4" t="s">
        <x:v>23</x:v>
      </x:c>
      <x:c r="G47" s="4" t="s">
        <x:v>102</x:v>
      </x:c>
      <x:c r="H47" s="4" t="s">
        <x:v>116</x:v>
      </x:c>
      <x:c r="I47" s="4" t="s">
        <x:v>67</x:v>
      </x:c>
      <x:c r="J47" s="4" t="s">
        <x:v>86</x:v>
      </x:c>
    </x:row>
    <x:row r="48" ht="28.5" customHeight="1">
      <x:c r="A48" s="4" t="s">
        <x:v>333</x:v>
      </x:c>
      <x:c r="B48" s="4" t="s">
        <x:v>119</x:v>
      </x:c>
      <x:c r="C48" s="4">
        <x:v>2</x:v>
      </x:c>
      <x:c r="D48" s="4" t="s">
        <x:v>120</x:v>
      </x:c>
      <x:c r="E48" s="4" t="s">
        <x:v>9</x:v>
      </x:c>
      <x:c r="F48" s="4" t="s">
        <x:v>23</x:v>
      </x:c>
      <x:c r="G48" s="4" t="s">
        <x:v>102</x:v>
      </x:c>
      <x:c r="H48" s="4" t="s">
        <x:v>116</x:v>
      </x:c>
      <x:c r="I48" s="4" t="s">
        <x:v>67</x:v>
      </x:c>
      <x:c r="J48" s="4" t="s">
        <x:v>86</x:v>
      </x:c>
    </x:row>
    <x:row r="49" ht="28.5" customHeight="1">
      <x:c r="A49" s="4" t="s">
        <x:v>334</x:v>
      </x:c>
      <x:c r="B49" s="4" t="s">
        <x:v>119</x:v>
      </x:c>
      <x:c r="C49" s="4">
        <x:v>3</x:v>
      </x:c>
      <x:c r="D49" s="4" t="s">
        <x:v>120</x:v>
      </x:c>
      <x:c r="E49" s="4" t="s">
        <x:v>9</x:v>
      </x:c>
      <x:c r="F49" s="4" t="s">
        <x:v>23</x:v>
      </x:c>
      <x:c r="G49" s="4" t="s">
        <x:v>102</x:v>
      </x:c>
      <x:c r="H49" s="4" t="s">
        <x:v>116</x:v>
      </x:c>
      <x:c r="I49" s="4" t="s">
        <x:v>67</x:v>
      </x:c>
      <x:c r="J49" s="4" t="s">
        <x:v>86</x:v>
      </x:c>
    </x:row>
    <x:row r="50" ht="28.5" customHeight="1">
      <x:c r="A50" s="4" t="s">
        <x:v>335</x:v>
      </x:c>
      <x:c r="B50" s="4" t="s">
        <x:v>121</x:v>
      </x:c>
      <x:c r="C50" s="4">
        <x:v>1</x:v>
      </x:c>
      <x:c r="D50" s="4" t="s">
        <x:v>122</x:v>
      </x:c>
      <x:c r="E50" s="4" t="s">
        <x:v>9</x:v>
      </x:c>
      <x:c r="F50" s="4" t="s">
        <x:v>24</x:v>
      </x:c>
      <x:c r="G50" s="4" t="s">
        <x:v>102</x:v>
      </x:c>
      <x:c r="H50" s="4" t="s">
        <x:v>123</x:v>
      </x:c>
      <x:c r="I50" s="4" t="s">
        <x:v>67</x:v>
      </x:c>
      <x:c r="J50" s="4" t="s">
        <x:v>95</x:v>
      </x:c>
    </x:row>
    <x:row r="51" ht="28.5" customHeight="1">
      <x:c r="A51" s="4" t="s">
        <x:v>336</x:v>
      </x:c>
      <x:c r="B51" s="4" t="s">
        <x:v>121</x:v>
      </x:c>
      <x:c r="C51" s="4">
        <x:v>2</x:v>
      </x:c>
      <x:c r="D51" s="4" t="s">
        <x:v>122</x:v>
      </x:c>
      <x:c r="E51" s="4" t="s">
        <x:v>9</x:v>
      </x:c>
      <x:c r="F51" s="4" t="s">
        <x:v>24</x:v>
      </x:c>
      <x:c r="G51" s="4" t="s">
        <x:v>102</x:v>
      </x:c>
      <x:c r="H51" s="4" t="s">
        <x:v>123</x:v>
      </x:c>
      <x:c r="I51" s="4" t="s">
        <x:v>67</x:v>
      </x:c>
      <x:c r="J51" s="4" t="s">
        <x:v>95</x:v>
      </x:c>
    </x:row>
    <x:row r="52" ht="28.5" customHeight="1">
      <x:c r="A52" s="4" t="s">
        <x:v>337</x:v>
      </x:c>
      <x:c r="B52" s="4" t="s">
        <x:v>124</x:v>
      </x:c>
      <x:c r="C52" s="4">
        <x:v>1</x:v>
      </x:c>
      <x:c r="D52" s="4" t="s">
        <x:v>125</x:v>
      </x:c>
      <x:c r="E52" s="4" t="s">
        <x:v>9</x:v>
      </x:c>
      <x:c r="F52" s="4" t="s">
        <x:v>26</x:v>
      </x:c>
      <x:c r="G52" s="4" t="s">
        <x:v>102</x:v>
      </x:c>
      <x:c r="H52" s="4" t="s">
        <x:v>126</x:v>
      </x:c>
      <x:c r="I52" s="4" t="s">
        <x:v>67</x:v>
      </x:c>
      <x:c r="J52" s="4" t="s">
        <x:v>99</x:v>
      </x:c>
    </x:row>
    <x:row r="53" ht="28.5" customHeight="1">
      <x:c r="A53" s="4" t="s">
        <x:v>338</x:v>
      </x:c>
      <x:c r="B53" s="4" t="s">
        <x:v>127</x:v>
      </x:c>
      <x:c r="C53" s="4">
        <x:v>1</x:v>
      </x:c>
      <x:c r="D53" s="4" t="s">
        <x:v>128</x:v>
      </x:c>
      <x:c r="E53" s="4" t="s">
        <x:v>9</x:v>
      </x:c>
      <x:c r="F53" s="4" t="s">
        <x:v>23</x:v>
      </x:c>
      <x:c r="G53" s="4" t="s">
        <x:v>129</x:v>
      </x:c>
      <x:c r="H53" s="4" t="s">
        <x:v>130</x:v>
      </x:c>
      <x:c r="I53" s="4" t="s">
        <x:v>67</x:v>
      </x:c>
      <x:c r="J53" s="4" t="s">
        <x:v>68</x:v>
      </x:c>
    </x:row>
    <x:row r="54" ht="28.5" customHeight="1">
      <x:c r="A54" s="4" t="s">
        <x:v>339</x:v>
      </x:c>
      <x:c r="B54" s="4" t="s">
        <x:v>127</x:v>
      </x:c>
      <x:c r="C54" s="4">
        <x:v>2</x:v>
      </x:c>
      <x:c r="D54" s="4" t="s">
        <x:v>128</x:v>
      </x:c>
      <x:c r="E54" s="4" t="s">
        <x:v>9</x:v>
      </x:c>
      <x:c r="F54" s="4" t="s">
        <x:v>23</x:v>
      </x:c>
      <x:c r="G54" s="4" t="s">
        <x:v>129</x:v>
      </x:c>
      <x:c r="H54" s="4" t="s">
        <x:v>130</x:v>
      </x:c>
      <x:c r="I54" s="4" t="s">
        <x:v>67</x:v>
      </x:c>
      <x:c r="J54" s="4" t="s">
        <x:v>68</x:v>
      </x:c>
    </x:row>
    <x:row r="55" ht="28.5" customHeight="1">
      <x:c r="A55" s="4" t="s">
        <x:v>340</x:v>
      </x:c>
      <x:c r="B55" s="4" t="s">
        <x:v>127</x:v>
      </x:c>
      <x:c r="C55" s="4">
        <x:v>3</x:v>
      </x:c>
      <x:c r="D55" s="4" t="s">
        <x:v>128</x:v>
      </x:c>
      <x:c r="E55" s="4" t="s">
        <x:v>9</x:v>
      </x:c>
      <x:c r="F55" s="4" t="s">
        <x:v>23</x:v>
      </x:c>
      <x:c r="G55" s="4" t="s">
        <x:v>129</x:v>
      </x:c>
      <x:c r="H55" s="4" t="s">
        <x:v>130</x:v>
      </x:c>
      <x:c r="I55" s="4" t="s">
        <x:v>67</x:v>
      </x:c>
      <x:c r="J55" s="4" t="s">
        <x:v>68</x:v>
      </x:c>
    </x:row>
    <x:row r="56" ht="28.5" customHeight="1">
      <x:c r="A56" s="4" t="s">
        <x:v>341</x:v>
      </x:c>
      <x:c r="B56" s="4" t="s">
        <x:v>131</x:v>
      </x:c>
      <x:c r="C56" s="4">
        <x:v>1</x:v>
      </x:c>
      <x:c r="D56" s="4" t="s">
        <x:v>132</x:v>
      </x:c>
      <x:c r="E56" s="4" t="s">
        <x:v>9</x:v>
      </x:c>
      <x:c r="F56" s="4" t="s">
        <x:v>23</x:v>
      </x:c>
      <x:c r="G56" s="4" t="s">
        <x:v>129</x:v>
      </x:c>
      <x:c r="H56" s="4" t="s">
        <x:v>130</x:v>
      </x:c>
      <x:c r="I56" s="4" t="s">
        <x:v>67</x:v>
      </x:c>
      <x:c r="J56" s="4" t="s">
        <x:v>68</x:v>
      </x:c>
    </x:row>
    <x:row r="57" ht="28.5" customHeight="1">
      <x:c r="A57" s="4" t="s">
        <x:v>342</x:v>
      </x:c>
      <x:c r="B57" s="4" t="s">
        <x:v>131</x:v>
      </x:c>
      <x:c r="C57" s="4">
        <x:v>2</x:v>
      </x:c>
      <x:c r="D57" s="4" t="s">
        <x:v>132</x:v>
      </x:c>
      <x:c r="E57" s="4" t="s">
        <x:v>9</x:v>
      </x:c>
      <x:c r="F57" s="4" t="s">
        <x:v>23</x:v>
      </x:c>
      <x:c r="G57" s="4" t="s">
        <x:v>129</x:v>
      </x:c>
      <x:c r="H57" s="4" t="s">
        <x:v>130</x:v>
      </x:c>
      <x:c r="I57" s="4" t="s">
        <x:v>67</x:v>
      </x:c>
      <x:c r="J57" s="4" t="s">
        <x:v>68</x:v>
      </x:c>
    </x:row>
    <x:row r="58" ht="28.5" customHeight="1">
      <x:c r="A58" s="4" t="s">
        <x:v>343</x:v>
      </x:c>
      <x:c r="B58" s="4" t="s">
        <x:v>131</x:v>
      </x:c>
      <x:c r="C58" s="4">
        <x:v>3</x:v>
      </x:c>
      <x:c r="D58" s="4" t="s">
        <x:v>132</x:v>
      </x:c>
      <x:c r="E58" s="4" t="s">
        <x:v>9</x:v>
      </x:c>
      <x:c r="F58" s="4" t="s">
        <x:v>23</x:v>
      </x:c>
      <x:c r="G58" s="4" t="s">
        <x:v>129</x:v>
      </x:c>
      <x:c r="H58" s="4" t="s">
        <x:v>130</x:v>
      </x:c>
      <x:c r="I58" s="4" t="s">
        <x:v>67</x:v>
      </x:c>
      <x:c r="J58" s="4" t="s">
        <x:v>68</x:v>
      </x:c>
    </x:row>
    <x:row r="59" ht="28.5" customHeight="1">
      <x:c r="A59" s="4" t="s">
        <x:v>344</x:v>
      </x:c>
      <x:c r="B59" s="4" t="s">
        <x:v>133</x:v>
      </x:c>
      <x:c r="C59" s="4">
        <x:v>1</x:v>
      </x:c>
      <x:c r="D59" s="4" t="s">
        <x:v>134</x:v>
      </x:c>
      <x:c r="E59" s="4" t="s">
        <x:v>9</x:v>
      </x:c>
      <x:c r="F59" s="4" t="s">
        <x:v>23</x:v>
      </x:c>
      <x:c r="G59" s="4" t="s">
        <x:v>129</x:v>
      </x:c>
      <x:c r="H59" s="4" t="s">
        <x:v>130</x:v>
      </x:c>
      <x:c r="I59" s="4" t="s">
        <x:v>67</x:v>
      </x:c>
      <x:c r="J59" s="4" t="s">
        <x:v>68</x:v>
      </x:c>
    </x:row>
    <x:row r="60" ht="28.5" customHeight="1">
      <x:c r="A60" s="4" t="s">
        <x:v>345</x:v>
      </x:c>
      <x:c r="B60" s="4" t="s">
        <x:v>133</x:v>
      </x:c>
      <x:c r="C60" s="4">
        <x:v>2</x:v>
      </x:c>
      <x:c r="D60" s="4" t="s">
        <x:v>134</x:v>
      </x:c>
      <x:c r="E60" s="4" t="s">
        <x:v>9</x:v>
      </x:c>
      <x:c r="F60" s="4" t="s">
        <x:v>23</x:v>
      </x:c>
      <x:c r="G60" s="4" t="s">
        <x:v>129</x:v>
      </x:c>
      <x:c r="H60" s="4" t="s">
        <x:v>130</x:v>
      </x:c>
      <x:c r="I60" s="4" t="s">
        <x:v>67</x:v>
      </x:c>
      <x:c r="J60" s="4" t="s">
        <x:v>68</x:v>
      </x:c>
    </x:row>
    <x:row r="61" ht="28.5" customHeight="1">
      <x:c r="A61" s="4" t="s">
        <x:v>346</x:v>
      </x:c>
      <x:c r="B61" s="4" t="s">
        <x:v>133</x:v>
      </x:c>
      <x:c r="C61" s="4">
        <x:v>3</x:v>
      </x:c>
      <x:c r="D61" s="4" t="s">
        <x:v>134</x:v>
      </x:c>
      <x:c r="E61" s="4" t="s">
        <x:v>9</x:v>
      </x:c>
      <x:c r="F61" s="4" t="s">
        <x:v>23</x:v>
      </x:c>
      <x:c r="G61" s="4" t="s">
        <x:v>129</x:v>
      </x:c>
      <x:c r="H61" s="4" t="s">
        <x:v>130</x:v>
      </x:c>
      <x:c r="I61" s="4" t="s">
        <x:v>67</x:v>
      </x:c>
      <x:c r="J61" s="4" t="s">
        <x:v>68</x:v>
      </x:c>
    </x:row>
    <x:row r="62" ht="28.5" customHeight="1">
      <x:c r="A62" s="4" t="s">
        <x:v>347</x:v>
      </x:c>
      <x:c r="B62" s="4" t="s">
        <x:v>135</x:v>
      </x:c>
      <x:c r="C62" s="4">
        <x:v>1</x:v>
      </x:c>
      <x:c r="D62" s="4" t="s">
        <x:v>136</x:v>
      </x:c>
      <x:c r="E62" s="4" t="s">
        <x:v>9</x:v>
      </x:c>
      <x:c r="F62" s="4" t="s">
        <x:v>24</x:v>
      </x:c>
      <x:c r="G62" s="4" t="s">
        <x:v>129</x:v>
      </x:c>
      <x:c r="H62" s="4" t="s">
        <x:v>137</x:v>
      </x:c>
      <x:c r="I62" s="4" t="s">
        <x:v>67</x:v>
      </x:c>
      <x:c r="J62" s="4" t="s">
        <x:v>77</x:v>
      </x:c>
    </x:row>
    <x:row r="63" ht="28.5" customHeight="1">
      <x:c r="A63" s="4" t="s">
        <x:v>348</x:v>
      </x:c>
      <x:c r="B63" s="4" t="s">
        <x:v>135</x:v>
      </x:c>
      <x:c r="C63" s="4">
        <x:v>2</x:v>
      </x:c>
      <x:c r="D63" s="4" t="s">
        <x:v>136</x:v>
      </x:c>
      <x:c r="E63" s="4" t="s">
        <x:v>9</x:v>
      </x:c>
      <x:c r="F63" s="4" t="s">
        <x:v>24</x:v>
      </x:c>
      <x:c r="G63" s="4" t="s">
        <x:v>129</x:v>
      </x:c>
      <x:c r="H63" s="4" t="s">
        <x:v>137</x:v>
      </x:c>
      <x:c r="I63" s="4" t="s">
        <x:v>67</x:v>
      </x:c>
      <x:c r="J63" s="4" t="s">
        <x:v>77</x:v>
      </x:c>
    </x:row>
    <x:row r="64" ht="28.5" customHeight="1">
      <x:c r="A64" s="4" t="s">
        <x:v>349</x:v>
      </x:c>
      <x:c r="B64" s="4" t="s">
        <x:v>138</x:v>
      </x:c>
      <x:c r="C64" s="4">
        <x:v>1</x:v>
      </x:c>
      <x:c r="D64" s="4" t="s">
        <x:v>139</x:v>
      </x:c>
      <x:c r="E64" s="4" t="s">
        <x:v>9</x:v>
      </x:c>
      <x:c r="F64" s="4" t="s">
        <x:v>26</x:v>
      </x:c>
      <x:c r="G64" s="4" t="s">
        <x:v>129</x:v>
      </x:c>
      <x:c r="H64" s="4" t="s">
        <x:v>140</x:v>
      </x:c>
      <x:c r="I64" s="4" t="s">
        <x:v>67</x:v>
      </x:c>
      <x:c r="J64" s="4" t="s">
        <x:v>81</x:v>
      </x:c>
    </x:row>
    <x:row r="65" ht="28.5" customHeight="1">
      <x:c r="A65" s="4" t="s">
        <x:v>350</x:v>
      </x:c>
      <x:c r="B65" s="4" t="s">
        <x:v>141</x:v>
      </x:c>
      <x:c r="C65" s="4">
        <x:v>1</x:v>
      </x:c>
      <x:c r="D65" s="4" t="s">
        <x:v>142</x:v>
      </x:c>
      <x:c r="E65" s="4" t="s">
        <x:v>9</x:v>
      </x:c>
      <x:c r="F65" s="4" t="s">
        <x:v>23</x:v>
      </x:c>
      <x:c r="G65" s="4" t="s">
        <x:v>129</x:v>
      </x:c>
      <x:c r="H65" s="4" t="s">
        <x:v>143</x:v>
      </x:c>
      <x:c r="I65" s="4" t="s">
        <x:v>67</x:v>
      </x:c>
      <x:c r="J65" s="4" t="s">
        <x:v>86</x:v>
      </x:c>
    </x:row>
    <x:row r="66" ht="28.5" customHeight="1">
      <x:c r="A66" s="4" t="s">
        <x:v>351</x:v>
      </x:c>
      <x:c r="B66" s="4" t="s">
        <x:v>141</x:v>
      </x:c>
      <x:c r="C66" s="4">
        <x:v>2</x:v>
      </x:c>
      <x:c r="D66" s="4" t="s">
        <x:v>142</x:v>
      </x:c>
      <x:c r="E66" s="4" t="s">
        <x:v>9</x:v>
      </x:c>
      <x:c r="F66" s="4" t="s">
        <x:v>23</x:v>
      </x:c>
      <x:c r="G66" s="4" t="s">
        <x:v>129</x:v>
      </x:c>
      <x:c r="H66" s="4" t="s">
        <x:v>143</x:v>
      </x:c>
      <x:c r="I66" s="4" t="s">
        <x:v>67</x:v>
      </x:c>
      <x:c r="J66" s="4" t="s">
        <x:v>86</x:v>
      </x:c>
    </x:row>
    <x:row r="67" ht="28.5" customHeight="1">
      <x:c r="A67" s="4" t="s">
        <x:v>352</x:v>
      </x:c>
      <x:c r="B67" s="4" t="s">
        <x:v>141</x:v>
      </x:c>
      <x:c r="C67" s="4">
        <x:v>3</x:v>
      </x:c>
      <x:c r="D67" s="4" t="s">
        <x:v>142</x:v>
      </x:c>
      <x:c r="E67" s="4" t="s">
        <x:v>9</x:v>
      </x:c>
      <x:c r="F67" s="4" t="s">
        <x:v>23</x:v>
      </x:c>
      <x:c r="G67" s="4" t="s">
        <x:v>129</x:v>
      </x:c>
      <x:c r="H67" s="4" t="s">
        <x:v>143</x:v>
      </x:c>
      <x:c r="I67" s="4" t="s">
        <x:v>67</x:v>
      </x:c>
      <x:c r="J67" s="4" t="s">
        <x:v>86</x:v>
      </x:c>
    </x:row>
    <x:row r="68" ht="28.5" customHeight="1">
      <x:c r="A68" s="4" t="s">
        <x:v>353</x:v>
      </x:c>
      <x:c r="B68" s="4" t="s">
        <x:v>144</x:v>
      </x:c>
      <x:c r="C68" s="4">
        <x:v>1</x:v>
      </x:c>
      <x:c r="D68" s="4" t="s">
        <x:v>145</x:v>
      </x:c>
      <x:c r="E68" s="4" t="s">
        <x:v>9</x:v>
      </x:c>
      <x:c r="F68" s="4" t="s">
        <x:v>23</x:v>
      </x:c>
      <x:c r="G68" s="4" t="s">
        <x:v>129</x:v>
      </x:c>
      <x:c r="H68" s="4" t="s">
        <x:v>143</x:v>
      </x:c>
      <x:c r="I68" s="4" t="s">
        <x:v>67</x:v>
      </x:c>
      <x:c r="J68" s="4" t="s">
        <x:v>86</x:v>
      </x:c>
    </x:row>
    <x:row r="69" ht="28.5" customHeight="1">
      <x:c r="A69" s="4" t="s">
        <x:v>354</x:v>
      </x:c>
      <x:c r="B69" s="4" t="s">
        <x:v>144</x:v>
      </x:c>
      <x:c r="C69" s="4">
        <x:v>2</x:v>
      </x:c>
      <x:c r="D69" s="4" t="s">
        <x:v>145</x:v>
      </x:c>
      <x:c r="E69" s="4" t="s">
        <x:v>9</x:v>
      </x:c>
      <x:c r="F69" s="4" t="s">
        <x:v>23</x:v>
      </x:c>
      <x:c r="G69" s="4" t="s">
        <x:v>129</x:v>
      </x:c>
      <x:c r="H69" s="4" t="s">
        <x:v>143</x:v>
      </x:c>
      <x:c r="I69" s="4" t="s">
        <x:v>67</x:v>
      </x:c>
      <x:c r="J69" s="4" t="s">
        <x:v>86</x:v>
      </x:c>
    </x:row>
    <x:row r="70" ht="28.5" customHeight="1">
      <x:c r="A70" s="4" t="s">
        <x:v>355</x:v>
      </x:c>
      <x:c r="B70" s="4" t="s">
        <x:v>144</x:v>
      </x:c>
      <x:c r="C70" s="4">
        <x:v>3</x:v>
      </x:c>
      <x:c r="D70" s="4" t="s">
        <x:v>145</x:v>
      </x:c>
      <x:c r="E70" s="4" t="s">
        <x:v>9</x:v>
      </x:c>
      <x:c r="F70" s="4" t="s">
        <x:v>23</x:v>
      </x:c>
      <x:c r="G70" s="4" t="s">
        <x:v>129</x:v>
      </x:c>
      <x:c r="H70" s="4" t="s">
        <x:v>143</x:v>
      </x:c>
      <x:c r="I70" s="4" t="s">
        <x:v>67</x:v>
      </x:c>
      <x:c r="J70" s="4" t="s">
        <x:v>86</x:v>
      </x:c>
    </x:row>
    <x:row r="71" ht="28.5" customHeight="1">
      <x:c r="A71" s="4" t="s">
        <x:v>356</x:v>
      </x:c>
      <x:c r="B71" s="4" t="s">
        <x:v>146</x:v>
      </x:c>
      <x:c r="C71" s="4">
        <x:v>1</x:v>
      </x:c>
      <x:c r="D71" s="4" t="s">
        <x:v>147</x:v>
      </x:c>
      <x:c r="E71" s="4" t="s">
        <x:v>9</x:v>
      </x:c>
      <x:c r="F71" s="4" t="s">
        <x:v>23</x:v>
      </x:c>
      <x:c r="G71" s="4" t="s">
        <x:v>129</x:v>
      </x:c>
      <x:c r="H71" s="4" t="s">
        <x:v>143</x:v>
      </x:c>
      <x:c r="I71" s="4" t="s">
        <x:v>67</x:v>
      </x:c>
      <x:c r="J71" s="4" t="s">
        <x:v>86</x:v>
      </x:c>
    </x:row>
    <x:row r="72" ht="28.5" customHeight="1">
      <x:c r="A72" s="4" t="s">
        <x:v>357</x:v>
      </x:c>
      <x:c r="B72" s="4" t="s">
        <x:v>146</x:v>
      </x:c>
      <x:c r="C72" s="4">
        <x:v>2</x:v>
      </x:c>
      <x:c r="D72" s="4" t="s">
        <x:v>147</x:v>
      </x:c>
      <x:c r="E72" s="4" t="s">
        <x:v>9</x:v>
      </x:c>
      <x:c r="F72" s="4" t="s">
        <x:v>23</x:v>
      </x:c>
      <x:c r="G72" s="4" t="s">
        <x:v>129</x:v>
      </x:c>
      <x:c r="H72" s="4" t="s">
        <x:v>143</x:v>
      </x:c>
      <x:c r="I72" s="4" t="s">
        <x:v>67</x:v>
      </x:c>
      <x:c r="J72" s="4" t="s">
        <x:v>86</x:v>
      </x:c>
    </x:row>
    <x:row r="73" ht="28.5" customHeight="1">
      <x:c r="A73" s="4" t="s">
        <x:v>358</x:v>
      </x:c>
      <x:c r="B73" s="4" t="s">
        <x:v>146</x:v>
      </x:c>
      <x:c r="C73" s="4">
        <x:v>3</x:v>
      </x:c>
      <x:c r="D73" s="4" t="s">
        <x:v>147</x:v>
      </x:c>
      <x:c r="E73" s="4" t="s">
        <x:v>9</x:v>
      </x:c>
      <x:c r="F73" s="4" t="s">
        <x:v>23</x:v>
      </x:c>
      <x:c r="G73" s="4" t="s">
        <x:v>129</x:v>
      </x:c>
      <x:c r="H73" s="4" t="s">
        <x:v>143</x:v>
      </x:c>
      <x:c r="I73" s="4" t="s">
        <x:v>67</x:v>
      </x:c>
      <x:c r="J73" s="4" t="s">
        <x:v>86</x:v>
      </x:c>
    </x:row>
    <x:row r="74" ht="28.5" customHeight="1">
      <x:c r="A74" s="4" t="s">
        <x:v>359</x:v>
      </x:c>
      <x:c r="B74" s="4" t="s">
        <x:v>148</x:v>
      </x:c>
      <x:c r="C74" s="4">
        <x:v>1</x:v>
      </x:c>
      <x:c r="D74" s="4" t="s">
        <x:v>149</x:v>
      </x:c>
      <x:c r="E74" s="4" t="s">
        <x:v>9</x:v>
      </x:c>
      <x:c r="F74" s="4" t="s">
        <x:v>24</x:v>
      </x:c>
      <x:c r="G74" s="4" t="s">
        <x:v>129</x:v>
      </x:c>
      <x:c r="H74" s="4" t="s">
        <x:v>150</x:v>
      </x:c>
      <x:c r="I74" s="4" t="s">
        <x:v>67</x:v>
      </x:c>
      <x:c r="J74" s="4" t="s">
        <x:v>95</x:v>
      </x:c>
    </x:row>
    <x:row r="75" ht="28.5" customHeight="1">
      <x:c r="A75" s="4" t="s">
        <x:v>360</x:v>
      </x:c>
      <x:c r="B75" s="4" t="s">
        <x:v>148</x:v>
      </x:c>
      <x:c r="C75" s="4">
        <x:v>2</x:v>
      </x:c>
      <x:c r="D75" s="4" t="s">
        <x:v>149</x:v>
      </x:c>
      <x:c r="E75" s="4" t="s">
        <x:v>9</x:v>
      </x:c>
      <x:c r="F75" s="4" t="s">
        <x:v>24</x:v>
      </x:c>
      <x:c r="G75" s="4" t="s">
        <x:v>129</x:v>
      </x:c>
      <x:c r="H75" s="4" t="s">
        <x:v>150</x:v>
      </x:c>
      <x:c r="I75" s="4" t="s">
        <x:v>67</x:v>
      </x:c>
      <x:c r="J75" s="4" t="s">
        <x:v>95</x:v>
      </x:c>
    </x:row>
    <x:row r="76" ht="28.5" customHeight="1">
      <x:c r="A76" s="4" t="s">
        <x:v>361</x:v>
      </x:c>
      <x:c r="B76" s="4" t="s">
        <x:v>151</x:v>
      </x:c>
      <x:c r="C76" s="4">
        <x:v>1</x:v>
      </x:c>
      <x:c r="D76" s="4" t="s">
        <x:v>152</x:v>
      </x:c>
      <x:c r="E76" s="4" t="s">
        <x:v>9</x:v>
      </x:c>
      <x:c r="F76" s="4" t="s">
        <x:v>26</x:v>
      </x:c>
      <x:c r="G76" s="4" t="s">
        <x:v>129</x:v>
      </x:c>
      <x:c r="H76" s="4" t="s">
        <x:v>153</x:v>
      </x:c>
      <x:c r="I76" s="4" t="s">
        <x:v>67</x:v>
      </x:c>
      <x:c r="J76" s="4" t="s">
        <x:v>99</x:v>
      </x:c>
    </x:row>
    <x:row r="77" ht="28.5" customHeight="1">
      <x:c r="A77" s="4" t="s">
        <x:v>362</x:v>
      </x:c>
      <x:c r="B77" s="4" t="s">
        <x:v>154</x:v>
      </x:c>
      <x:c r="C77" s="4">
        <x:v>1</x:v>
      </x:c>
      <x:c r="D77" s="4" t="s">
        <x:v>155</x:v>
      </x:c>
      <x:c r="E77" s="4" t="s">
        <x:v>9</x:v>
      </x:c>
      <x:c r="F77" s="4" t="s">
        <x:v>23</x:v>
      </x:c>
      <x:c r="G77" s="4" t="s">
        <x:v>156</x:v>
      </x:c>
      <x:c r="H77" s="4" t="s">
        <x:v>157</x:v>
      </x:c>
      <x:c r="I77" s="4" t="s">
        <x:v>67</x:v>
      </x:c>
      <x:c r="J77" s="4" t="s">
        <x:v>68</x:v>
      </x:c>
    </x:row>
    <x:row r="78" ht="28.5" customHeight="1">
      <x:c r="A78" s="4" t="s">
        <x:v>363</x:v>
      </x:c>
      <x:c r="B78" s="4" t="s">
        <x:v>154</x:v>
      </x:c>
      <x:c r="C78" s="4">
        <x:v>2</x:v>
      </x:c>
      <x:c r="D78" s="4" t="s">
        <x:v>155</x:v>
      </x:c>
      <x:c r="E78" s="4" t="s">
        <x:v>9</x:v>
      </x:c>
      <x:c r="F78" s="4" t="s">
        <x:v>23</x:v>
      </x:c>
      <x:c r="G78" s="4" t="s">
        <x:v>156</x:v>
      </x:c>
      <x:c r="H78" s="4" t="s">
        <x:v>157</x:v>
      </x:c>
      <x:c r="I78" s="4" t="s">
        <x:v>67</x:v>
      </x:c>
      <x:c r="J78" s="4" t="s">
        <x:v>68</x:v>
      </x:c>
    </x:row>
    <x:row r="79" ht="28.5" customHeight="1">
      <x:c r="A79" s="4" t="s">
        <x:v>364</x:v>
      </x:c>
      <x:c r="B79" s="4" t="s">
        <x:v>154</x:v>
      </x:c>
      <x:c r="C79" s="4">
        <x:v>3</x:v>
      </x:c>
      <x:c r="D79" s="4" t="s">
        <x:v>155</x:v>
      </x:c>
      <x:c r="E79" s="4" t="s">
        <x:v>9</x:v>
      </x:c>
      <x:c r="F79" s="4" t="s">
        <x:v>23</x:v>
      </x:c>
      <x:c r="G79" s="4" t="s">
        <x:v>156</x:v>
      </x:c>
      <x:c r="H79" s="4" t="s">
        <x:v>157</x:v>
      </x:c>
      <x:c r="I79" s="4" t="s">
        <x:v>67</x:v>
      </x:c>
      <x:c r="J79" s="4" t="s">
        <x:v>68</x:v>
      </x:c>
    </x:row>
    <x:row r="80" ht="28.5" customHeight="1">
      <x:c r="A80" s="4" t="s">
        <x:v>365</x:v>
      </x:c>
      <x:c r="B80" s="4" t="s">
        <x:v>158</x:v>
      </x:c>
      <x:c r="C80" s="4">
        <x:v>1</x:v>
      </x:c>
      <x:c r="D80" s="4" t="s">
        <x:v>159</x:v>
      </x:c>
      <x:c r="E80" s="4" t="s">
        <x:v>9</x:v>
      </x:c>
      <x:c r="F80" s="4" t="s">
        <x:v>23</x:v>
      </x:c>
      <x:c r="G80" s="4" t="s">
        <x:v>156</x:v>
      </x:c>
      <x:c r="H80" s="4" t="s">
        <x:v>157</x:v>
      </x:c>
      <x:c r="I80" s="4" t="s">
        <x:v>67</x:v>
      </x:c>
      <x:c r="J80" s="4" t="s">
        <x:v>68</x:v>
      </x:c>
    </x:row>
    <x:row r="81" ht="28.5" customHeight="1">
      <x:c r="A81" s="4" t="s">
        <x:v>366</x:v>
      </x:c>
      <x:c r="B81" s="4" t="s">
        <x:v>158</x:v>
      </x:c>
      <x:c r="C81" s="4">
        <x:v>2</x:v>
      </x:c>
      <x:c r="D81" s="4" t="s">
        <x:v>159</x:v>
      </x:c>
      <x:c r="E81" s="4" t="s">
        <x:v>9</x:v>
      </x:c>
      <x:c r="F81" s="4" t="s">
        <x:v>23</x:v>
      </x:c>
      <x:c r="G81" s="4" t="s">
        <x:v>156</x:v>
      </x:c>
      <x:c r="H81" s="4" t="s">
        <x:v>157</x:v>
      </x:c>
      <x:c r="I81" s="4" t="s">
        <x:v>67</x:v>
      </x:c>
      <x:c r="J81" s="4" t="s">
        <x:v>68</x:v>
      </x:c>
    </x:row>
    <x:row r="82" ht="28.5" customHeight="1">
      <x:c r="A82" s="4" t="s">
        <x:v>367</x:v>
      </x:c>
      <x:c r="B82" s="4" t="s">
        <x:v>158</x:v>
      </x:c>
      <x:c r="C82" s="4">
        <x:v>3</x:v>
      </x:c>
      <x:c r="D82" s="4" t="s">
        <x:v>159</x:v>
      </x:c>
      <x:c r="E82" s="4" t="s">
        <x:v>9</x:v>
      </x:c>
      <x:c r="F82" s="4" t="s">
        <x:v>23</x:v>
      </x:c>
      <x:c r="G82" s="4" t="s">
        <x:v>156</x:v>
      </x:c>
      <x:c r="H82" s="4" t="s">
        <x:v>157</x:v>
      </x:c>
      <x:c r="I82" s="4" t="s">
        <x:v>67</x:v>
      </x:c>
      <x:c r="J82" s="4" t="s">
        <x:v>68</x:v>
      </x:c>
    </x:row>
    <x:row r="83" ht="28.5" customHeight="1">
      <x:c r="A83" s="4" t="s">
        <x:v>368</x:v>
      </x:c>
      <x:c r="B83" s="4" t="s">
        <x:v>160</x:v>
      </x:c>
      <x:c r="C83" s="4">
        <x:v>1</x:v>
      </x:c>
      <x:c r="D83" s="4" t="s">
        <x:v>161</x:v>
      </x:c>
      <x:c r="E83" s="4" t="s">
        <x:v>9</x:v>
      </x:c>
      <x:c r="F83" s="4" t="s">
        <x:v>23</x:v>
      </x:c>
      <x:c r="G83" s="4" t="s">
        <x:v>156</x:v>
      </x:c>
      <x:c r="H83" s="4" t="s">
        <x:v>157</x:v>
      </x:c>
      <x:c r="I83" s="4" t="s">
        <x:v>67</x:v>
      </x:c>
      <x:c r="J83" s="4" t="s">
        <x:v>68</x:v>
      </x:c>
    </x:row>
    <x:row r="84" ht="28.5" customHeight="1">
      <x:c r="A84" s="4" t="s">
        <x:v>369</x:v>
      </x:c>
      <x:c r="B84" s="4" t="s">
        <x:v>160</x:v>
      </x:c>
      <x:c r="C84" s="4">
        <x:v>2</x:v>
      </x:c>
      <x:c r="D84" s="4" t="s">
        <x:v>161</x:v>
      </x:c>
      <x:c r="E84" s="4" t="s">
        <x:v>9</x:v>
      </x:c>
      <x:c r="F84" s="4" t="s">
        <x:v>23</x:v>
      </x:c>
      <x:c r="G84" s="4" t="s">
        <x:v>156</x:v>
      </x:c>
      <x:c r="H84" s="4" t="s">
        <x:v>157</x:v>
      </x:c>
      <x:c r="I84" s="4" t="s">
        <x:v>67</x:v>
      </x:c>
      <x:c r="J84" s="4" t="s">
        <x:v>68</x:v>
      </x:c>
    </x:row>
    <x:row r="85" ht="28.5" customHeight="1">
      <x:c r="A85" s="4" t="s">
        <x:v>370</x:v>
      </x:c>
      <x:c r="B85" s="4" t="s">
        <x:v>160</x:v>
      </x:c>
      <x:c r="C85" s="4">
        <x:v>3</x:v>
      </x:c>
      <x:c r="D85" s="4" t="s">
        <x:v>161</x:v>
      </x:c>
      <x:c r="E85" s="4" t="s">
        <x:v>9</x:v>
      </x:c>
      <x:c r="F85" s="4" t="s">
        <x:v>23</x:v>
      </x:c>
      <x:c r="G85" s="4" t="s">
        <x:v>156</x:v>
      </x:c>
      <x:c r="H85" s="4" t="s">
        <x:v>157</x:v>
      </x:c>
      <x:c r="I85" s="4" t="s">
        <x:v>67</x:v>
      </x:c>
      <x:c r="J85" s="4" t="s">
        <x:v>68</x:v>
      </x:c>
    </x:row>
    <x:row r="86" ht="28.5" customHeight="1">
      <x:c r="A86" s="4" t="s">
        <x:v>371</x:v>
      </x:c>
      <x:c r="B86" s="4" t="s">
        <x:v>162</x:v>
      </x:c>
      <x:c r="C86" s="4">
        <x:v>1</x:v>
      </x:c>
      <x:c r="D86" s="4" t="s">
        <x:v>163</x:v>
      </x:c>
      <x:c r="E86" s="4" t="s">
        <x:v>9</x:v>
      </x:c>
      <x:c r="F86" s="4" t="s">
        <x:v>24</x:v>
      </x:c>
      <x:c r="G86" s="4" t="s">
        <x:v>156</x:v>
      </x:c>
      <x:c r="H86" s="4" t="s">
        <x:v>164</x:v>
      </x:c>
      <x:c r="I86" s="4" t="s">
        <x:v>67</x:v>
      </x:c>
      <x:c r="J86" s="4" t="s">
        <x:v>77</x:v>
      </x:c>
    </x:row>
    <x:row r="87" ht="28.5" customHeight="1">
      <x:c r="A87" s="4" t="s">
        <x:v>372</x:v>
      </x:c>
      <x:c r="B87" s="4" t="s">
        <x:v>162</x:v>
      </x:c>
      <x:c r="C87" s="4">
        <x:v>2</x:v>
      </x:c>
      <x:c r="D87" s="4" t="s">
        <x:v>163</x:v>
      </x:c>
      <x:c r="E87" s="4" t="s">
        <x:v>9</x:v>
      </x:c>
      <x:c r="F87" s="4" t="s">
        <x:v>24</x:v>
      </x:c>
      <x:c r="G87" s="4" t="s">
        <x:v>156</x:v>
      </x:c>
      <x:c r="H87" s="4" t="s">
        <x:v>164</x:v>
      </x:c>
      <x:c r="I87" s="4" t="s">
        <x:v>67</x:v>
      </x:c>
      <x:c r="J87" s="4" t="s">
        <x:v>77</x:v>
      </x:c>
    </x:row>
    <x:row r="88" ht="28.5" customHeight="1">
      <x:c r="A88" s="4" t="s">
        <x:v>373</x:v>
      </x:c>
      <x:c r="B88" s="4" t="s">
        <x:v>165</x:v>
      </x:c>
      <x:c r="C88" s="4">
        <x:v>1</x:v>
      </x:c>
      <x:c r="D88" s="4" t="s">
        <x:v>166</x:v>
      </x:c>
      <x:c r="E88" s="4" t="s">
        <x:v>9</x:v>
      </x:c>
      <x:c r="F88" s="4" t="s">
        <x:v>26</x:v>
      </x:c>
      <x:c r="G88" s="4" t="s">
        <x:v>156</x:v>
      </x:c>
      <x:c r="H88" s="4" t="s">
        <x:v>167</x:v>
      </x:c>
      <x:c r="I88" s="4" t="s">
        <x:v>67</x:v>
      </x:c>
      <x:c r="J88" s="4" t="s">
        <x:v>81</x:v>
      </x:c>
    </x:row>
    <x:row r="89" ht="28.5" customHeight="1">
      <x:c r="A89" s="4" t="s">
        <x:v>374</x:v>
      </x:c>
      <x:c r="B89" s="4" t="s">
        <x:v>168</x:v>
      </x:c>
      <x:c r="C89" s="4">
        <x:v>1</x:v>
      </x:c>
      <x:c r="D89" s="4" t="s">
        <x:v>169</x:v>
      </x:c>
      <x:c r="E89" s="4" t="s">
        <x:v>9</x:v>
      </x:c>
      <x:c r="F89" s="4" t="s">
        <x:v>23</x:v>
      </x:c>
      <x:c r="G89" s="4" t="s">
        <x:v>156</x:v>
      </x:c>
      <x:c r="H89" s="4" t="s">
        <x:v>170</x:v>
      </x:c>
      <x:c r="I89" s="4" t="s">
        <x:v>67</x:v>
      </x:c>
      <x:c r="J89" s="4" t="s">
        <x:v>86</x:v>
      </x:c>
    </x:row>
    <x:row r="90" ht="28.5" customHeight="1">
      <x:c r="A90" s="4" t="s">
        <x:v>375</x:v>
      </x:c>
      <x:c r="B90" s="4" t="s">
        <x:v>168</x:v>
      </x:c>
      <x:c r="C90" s="4">
        <x:v>2</x:v>
      </x:c>
      <x:c r="D90" s="4" t="s">
        <x:v>169</x:v>
      </x:c>
      <x:c r="E90" s="4" t="s">
        <x:v>9</x:v>
      </x:c>
      <x:c r="F90" s="4" t="s">
        <x:v>23</x:v>
      </x:c>
      <x:c r="G90" s="4" t="s">
        <x:v>156</x:v>
      </x:c>
      <x:c r="H90" s="4" t="s">
        <x:v>170</x:v>
      </x:c>
      <x:c r="I90" s="4" t="s">
        <x:v>67</x:v>
      </x:c>
      <x:c r="J90" s="4" t="s">
        <x:v>86</x:v>
      </x:c>
    </x:row>
    <x:row r="91" ht="28.5" customHeight="1">
      <x:c r="A91" s="4" t="s">
        <x:v>376</x:v>
      </x:c>
      <x:c r="B91" s="4" t="s">
        <x:v>168</x:v>
      </x:c>
      <x:c r="C91" s="4">
        <x:v>3</x:v>
      </x:c>
      <x:c r="D91" s="4" t="s">
        <x:v>169</x:v>
      </x:c>
      <x:c r="E91" s="4" t="s">
        <x:v>9</x:v>
      </x:c>
      <x:c r="F91" s="4" t="s">
        <x:v>23</x:v>
      </x:c>
      <x:c r="G91" s="4" t="s">
        <x:v>156</x:v>
      </x:c>
      <x:c r="H91" s="4" t="s">
        <x:v>170</x:v>
      </x:c>
      <x:c r="I91" s="4" t="s">
        <x:v>67</x:v>
      </x:c>
      <x:c r="J91" s="4" t="s">
        <x:v>86</x:v>
      </x:c>
    </x:row>
    <x:row r="92" ht="28.5" customHeight="1">
      <x:c r="A92" s="4" t="s">
        <x:v>377</x:v>
      </x:c>
      <x:c r="B92" s="4" t="s">
        <x:v>171</x:v>
      </x:c>
      <x:c r="C92" s="4">
        <x:v>1</x:v>
      </x:c>
      <x:c r="D92" s="4" t="s">
        <x:v>172</x:v>
      </x:c>
      <x:c r="E92" s="4" t="s">
        <x:v>9</x:v>
      </x:c>
      <x:c r="F92" s="4" t="s">
        <x:v>23</x:v>
      </x:c>
      <x:c r="G92" s="4" t="s">
        <x:v>156</x:v>
      </x:c>
      <x:c r="H92" s="4" t="s">
        <x:v>170</x:v>
      </x:c>
      <x:c r="I92" s="4" t="s">
        <x:v>67</x:v>
      </x:c>
      <x:c r="J92" s="4" t="s">
        <x:v>86</x:v>
      </x:c>
    </x:row>
    <x:row r="93" ht="28.5" customHeight="1">
      <x:c r="A93" s="4" t="s">
        <x:v>378</x:v>
      </x:c>
      <x:c r="B93" s="4" t="s">
        <x:v>171</x:v>
      </x:c>
      <x:c r="C93" s="4">
        <x:v>2</x:v>
      </x:c>
      <x:c r="D93" s="4" t="s">
        <x:v>172</x:v>
      </x:c>
      <x:c r="E93" s="4" t="s">
        <x:v>9</x:v>
      </x:c>
      <x:c r="F93" s="4" t="s">
        <x:v>23</x:v>
      </x:c>
      <x:c r="G93" s="4" t="s">
        <x:v>156</x:v>
      </x:c>
      <x:c r="H93" s="4" t="s">
        <x:v>170</x:v>
      </x:c>
      <x:c r="I93" s="4" t="s">
        <x:v>67</x:v>
      </x:c>
      <x:c r="J93" s="4" t="s">
        <x:v>86</x:v>
      </x:c>
    </x:row>
    <x:row r="94" ht="28.5" customHeight="1">
      <x:c r="A94" s="4" t="s">
        <x:v>379</x:v>
      </x:c>
      <x:c r="B94" s="4" t="s">
        <x:v>171</x:v>
      </x:c>
      <x:c r="C94" s="4">
        <x:v>3</x:v>
      </x:c>
      <x:c r="D94" s="4" t="s">
        <x:v>172</x:v>
      </x:c>
      <x:c r="E94" s="4" t="s">
        <x:v>9</x:v>
      </x:c>
      <x:c r="F94" s="4" t="s">
        <x:v>23</x:v>
      </x:c>
      <x:c r="G94" s="4" t="s">
        <x:v>156</x:v>
      </x:c>
      <x:c r="H94" s="4" t="s">
        <x:v>170</x:v>
      </x:c>
      <x:c r="I94" s="4" t="s">
        <x:v>67</x:v>
      </x:c>
      <x:c r="J94" s="4" t="s">
        <x:v>86</x:v>
      </x:c>
    </x:row>
    <x:row r="95" ht="28.5" customHeight="1">
      <x:c r="A95" s="4" t="s">
        <x:v>380</x:v>
      </x:c>
      <x:c r="B95" s="4" t="s">
        <x:v>173</x:v>
      </x:c>
      <x:c r="C95" s="4">
        <x:v>1</x:v>
      </x:c>
      <x:c r="D95" s="4" t="s">
        <x:v>174</x:v>
      </x:c>
      <x:c r="E95" s="4" t="s">
        <x:v>9</x:v>
      </x:c>
      <x:c r="F95" s="4" t="s">
        <x:v>23</x:v>
      </x:c>
      <x:c r="G95" s="4" t="s">
        <x:v>156</x:v>
      </x:c>
      <x:c r="H95" s="4" t="s">
        <x:v>170</x:v>
      </x:c>
      <x:c r="I95" s="4" t="s">
        <x:v>67</x:v>
      </x:c>
      <x:c r="J95" s="4" t="s">
        <x:v>86</x:v>
      </x:c>
    </x:row>
    <x:row r="96" ht="28.5" customHeight="1">
      <x:c r="A96" s="4" t="s">
        <x:v>381</x:v>
      </x:c>
      <x:c r="B96" s="4" t="s">
        <x:v>173</x:v>
      </x:c>
      <x:c r="C96" s="4">
        <x:v>2</x:v>
      </x:c>
      <x:c r="D96" s="4" t="s">
        <x:v>174</x:v>
      </x:c>
      <x:c r="E96" s="4" t="s">
        <x:v>9</x:v>
      </x:c>
      <x:c r="F96" s="4" t="s">
        <x:v>23</x:v>
      </x:c>
      <x:c r="G96" s="4" t="s">
        <x:v>156</x:v>
      </x:c>
      <x:c r="H96" s="4" t="s">
        <x:v>170</x:v>
      </x:c>
      <x:c r="I96" s="4" t="s">
        <x:v>67</x:v>
      </x:c>
      <x:c r="J96" s="4" t="s">
        <x:v>86</x:v>
      </x:c>
    </x:row>
    <x:row r="97" ht="28.5" customHeight="1">
      <x:c r="A97" s="4" t="s">
        <x:v>382</x:v>
      </x:c>
      <x:c r="B97" s="4" t="s">
        <x:v>173</x:v>
      </x:c>
      <x:c r="C97" s="4">
        <x:v>3</x:v>
      </x:c>
      <x:c r="D97" s="4" t="s">
        <x:v>174</x:v>
      </x:c>
      <x:c r="E97" s="4" t="s">
        <x:v>9</x:v>
      </x:c>
      <x:c r="F97" s="4" t="s">
        <x:v>23</x:v>
      </x:c>
      <x:c r="G97" s="4" t="s">
        <x:v>156</x:v>
      </x:c>
      <x:c r="H97" s="4" t="s">
        <x:v>170</x:v>
      </x:c>
      <x:c r="I97" s="4" t="s">
        <x:v>67</x:v>
      </x:c>
      <x:c r="J97" s="4" t="s">
        <x:v>86</x:v>
      </x:c>
    </x:row>
    <x:row r="98" ht="28.5" customHeight="1">
      <x:c r="A98" s="4" t="s">
        <x:v>383</x:v>
      </x:c>
      <x:c r="B98" s="4" t="s">
        <x:v>175</x:v>
      </x:c>
      <x:c r="C98" s="4">
        <x:v>1</x:v>
      </x:c>
      <x:c r="D98" s="4" t="s">
        <x:v>176</x:v>
      </x:c>
      <x:c r="E98" s="4" t="s">
        <x:v>9</x:v>
      </x:c>
      <x:c r="F98" s="4" t="s">
        <x:v>24</x:v>
      </x:c>
      <x:c r="G98" s="4" t="s">
        <x:v>156</x:v>
      </x:c>
      <x:c r="H98" s="4" t="s">
        <x:v>177</x:v>
      </x:c>
      <x:c r="I98" s="4" t="s">
        <x:v>67</x:v>
      </x:c>
      <x:c r="J98" s="4" t="s">
        <x:v>95</x:v>
      </x:c>
    </x:row>
    <x:row r="99" ht="28.5" customHeight="1">
      <x:c r="A99" s="4" t="s">
        <x:v>384</x:v>
      </x:c>
      <x:c r="B99" s="4" t="s">
        <x:v>175</x:v>
      </x:c>
      <x:c r="C99" s="4">
        <x:v>2</x:v>
      </x:c>
      <x:c r="D99" s="4" t="s">
        <x:v>176</x:v>
      </x:c>
      <x:c r="E99" s="4" t="s">
        <x:v>9</x:v>
      </x:c>
      <x:c r="F99" s="4" t="s">
        <x:v>24</x:v>
      </x:c>
      <x:c r="G99" s="4" t="s">
        <x:v>156</x:v>
      </x:c>
      <x:c r="H99" s="4" t="s">
        <x:v>177</x:v>
      </x:c>
      <x:c r="I99" s="4" t="s">
        <x:v>67</x:v>
      </x:c>
      <x:c r="J99" s="4" t="s">
        <x:v>95</x:v>
      </x:c>
    </x:row>
    <x:row r="100" ht="28.5" customHeight="1">
      <x:c r="A100" s="4" t="s">
        <x:v>385</x:v>
      </x:c>
      <x:c r="B100" s="4" t="s">
        <x:v>178</x:v>
      </x:c>
      <x:c r="C100" s="4">
        <x:v>1</x:v>
      </x:c>
      <x:c r="D100" s="4" t="s">
        <x:v>179</x:v>
      </x:c>
      <x:c r="E100" s="4" t="s">
        <x:v>9</x:v>
      </x:c>
      <x:c r="F100" s="4" t="s">
        <x:v>26</x:v>
      </x:c>
      <x:c r="G100" s="4" t="s">
        <x:v>156</x:v>
      </x:c>
      <x:c r="H100" s="4" t="s">
        <x:v>180</x:v>
      </x:c>
      <x:c r="I100" s="4" t="s">
        <x:v>67</x:v>
      </x:c>
      <x:c r="J100" s="4" t="s">
        <x:v>99</x:v>
      </x:c>
    </x:row>
    <x:row r="101" ht="28.5" customHeight="1">
      <x:c r="A101" s="4" t="s">
        <x:v>386</x:v>
      </x:c>
      <x:c r="B101" s="4" t="s">
        <x:v>181</x:v>
      </x:c>
      <x:c r="C101" s="4">
        <x:v>1</x:v>
      </x:c>
      <x:c r="D101" s="4" t="s">
        <x:v>182</x:v>
      </x:c>
      <x:c r="E101" s="4" t="s">
        <x:v>11</x:v>
      </x:c>
      <x:c r="F101" s="4" t="s">
        <x:v>23</x:v>
      </x:c>
      <x:c r="G101" s="4" t="s">
        <x:v>184</x:v>
      </x:c>
      <x:c r="H101" s="4" t="s">
        <x:v>185</x:v>
      </x:c>
      <x:c r="I101" s="4" t="s">
        <x:v>67</x:v>
      </x:c>
      <x:c r="J101" s="4" t="s">
        <x:v>186</x:v>
      </x:c>
    </x:row>
    <x:row r="102" ht="28.5" customHeight="1">
      <x:c r="A102" s="4" t="s">
        <x:v>387</x:v>
      </x:c>
      <x:c r="B102" s="4" t="s">
        <x:v>181</x:v>
      </x:c>
      <x:c r="C102" s="4">
        <x:v>2</x:v>
      </x:c>
      <x:c r="D102" s="4" t="s">
        <x:v>182</x:v>
      </x:c>
      <x:c r="E102" s="4" t="s">
        <x:v>11</x:v>
      </x:c>
      <x:c r="F102" s="4" t="s">
        <x:v>23</x:v>
      </x:c>
      <x:c r="G102" s="4" t="s">
        <x:v>184</x:v>
      </x:c>
      <x:c r="H102" s="4" t="s">
        <x:v>185</x:v>
      </x:c>
      <x:c r="I102" s="4" t="s">
        <x:v>67</x:v>
      </x:c>
      <x:c r="J102" s="4" t="s">
        <x:v>186</x:v>
      </x:c>
    </x:row>
    <x:row r="103" ht="28.5" customHeight="1">
      <x:c r="A103" s="4" t="s">
        <x:v>388</x:v>
      </x:c>
      <x:c r="B103" s="4" t="s">
        <x:v>187</x:v>
      </x:c>
      <x:c r="C103" s="4">
        <x:v>1</x:v>
      </x:c>
      <x:c r="D103" s="4" t="s">
        <x:v>188</x:v>
      </x:c>
      <x:c r="E103" s="4" t="s">
        <x:v>11</x:v>
      </x:c>
      <x:c r="F103" s="4" t="s">
        <x:v>23</x:v>
      </x:c>
      <x:c r="G103" s="4" t="s">
        <x:v>184</x:v>
      </x:c>
      <x:c r="H103" s="4" t="s">
        <x:v>190</x:v>
      </x:c>
      <x:c r="I103" s="4" t="s">
        <x:v>67</x:v>
      </x:c>
      <x:c r="J103" s="4" t="s">
        <x:v>186</x:v>
      </x:c>
    </x:row>
    <x:row r="104" ht="28.5" customHeight="1">
      <x:c r="A104" s="4" t="s">
        <x:v>389</x:v>
      </x:c>
      <x:c r="B104" s="4" t="s">
        <x:v>187</x:v>
      </x:c>
      <x:c r="C104" s="4">
        <x:v>2</x:v>
      </x:c>
      <x:c r="D104" s="4" t="s">
        <x:v>188</x:v>
      </x:c>
      <x:c r="E104" s="4" t="s">
        <x:v>11</x:v>
      </x:c>
      <x:c r="F104" s="4" t="s">
        <x:v>23</x:v>
      </x:c>
      <x:c r="G104" s="4" t="s">
        <x:v>184</x:v>
      </x:c>
      <x:c r="H104" s="4" t="s">
        <x:v>190</x:v>
      </x:c>
      <x:c r="I104" s="4" t="s">
        <x:v>67</x:v>
      </x:c>
      <x:c r="J104" s="4" t="s">
        <x:v>186</x:v>
      </x:c>
    </x:row>
    <x:row r="105" ht="28.5" customHeight="1">
      <x:c r="A105" s="4" t="s">
        <x:v>390</x:v>
      </x:c>
      <x:c r="B105" s="4" t="s">
        <x:v>191</x:v>
      </x:c>
      <x:c r="C105" s="4">
        <x:v>1</x:v>
      </x:c>
      <x:c r="D105" s="4" t="s">
        <x:v>192</x:v>
      </x:c>
      <x:c r="E105" s="4" t="s">
        <x:v>11</x:v>
      </x:c>
      <x:c r="F105" s="4" t="s">
        <x:v>23</x:v>
      </x:c>
      <x:c r="G105" s="4" t="s">
        <x:v>193</x:v>
      </x:c>
      <x:c r="H105" s="4" t="s">
        <x:v>194</x:v>
      </x:c>
      <x:c r="I105" s="4" t="s">
        <x:v>67</x:v>
      </x:c>
      <x:c r="J105" s="4" t="s">
        <x:v>186</x:v>
      </x:c>
    </x:row>
    <x:row r="106" ht="28.5" customHeight="1">
      <x:c r="A106" s="4" t="s">
        <x:v>391</x:v>
      </x:c>
      <x:c r="B106" s="4" t="s">
        <x:v>191</x:v>
      </x:c>
      <x:c r="C106" s="4">
        <x:v>2</x:v>
      </x:c>
      <x:c r="D106" s="4" t="s">
        <x:v>192</x:v>
      </x:c>
      <x:c r="E106" s="4" t="s">
        <x:v>11</x:v>
      </x:c>
      <x:c r="F106" s="4" t="s">
        <x:v>23</x:v>
      </x:c>
      <x:c r="G106" s="4" t="s">
        <x:v>193</x:v>
      </x:c>
      <x:c r="H106" s="4" t="s">
        <x:v>194</x:v>
      </x:c>
      <x:c r="I106" s="4" t="s">
        <x:v>67</x:v>
      </x:c>
      <x:c r="J106" s="4" t="s">
        <x:v>186</x:v>
      </x:c>
    </x:row>
    <x:row r="107" ht="28.5" customHeight="1">
      <x:c r="A107" s="4" t="s">
        <x:v>392</x:v>
      </x:c>
      <x:c r="B107" s="4" t="s">
        <x:v>195</x:v>
      </x:c>
      <x:c r="C107" s="4">
        <x:v>1</x:v>
      </x:c>
      <x:c r="D107" s="4" t="s">
        <x:v>196</x:v>
      </x:c>
      <x:c r="E107" s="4" t="s">
        <x:v>11</x:v>
      </x:c>
      <x:c r="F107" s="4" t="s">
        <x:v>23</x:v>
      </x:c>
      <x:c r="G107" s="4" t="s">
        <x:v>193</x:v>
      </x:c>
      <x:c r="H107" s="4" t="s">
        <x:v>197</x:v>
      </x:c>
      <x:c r="I107" s="4" t="s">
        <x:v>67</x:v>
      </x:c>
      <x:c r="J107" s="4" t="s">
        <x:v>186</x:v>
      </x:c>
    </x:row>
    <x:row r="108" ht="28.5" customHeight="1">
      <x:c r="A108" s="4" t="s">
        <x:v>393</x:v>
      </x:c>
      <x:c r="B108" s="4" t="s">
        <x:v>195</x:v>
      </x:c>
      <x:c r="C108" s="4">
        <x:v>2</x:v>
      </x:c>
      <x:c r="D108" s="4" t="s">
        <x:v>196</x:v>
      </x:c>
      <x:c r="E108" s="4" t="s">
        <x:v>11</x:v>
      </x:c>
      <x:c r="F108" s="4" t="s">
        <x:v>23</x:v>
      </x:c>
      <x:c r="G108" s="4" t="s">
        <x:v>193</x:v>
      </x:c>
      <x:c r="H108" s="4" t="s">
        <x:v>197</x:v>
      </x:c>
      <x:c r="I108" s="4" t="s">
        <x:v>67</x:v>
      </x:c>
      <x:c r="J108" s="4" t="s">
        <x:v>186</x:v>
      </x:c>
    </x:row>
    <x:row r="109" ht="28.5" customHeight="1">
      <x:c r="A109" s="4" t="str">
        <x:v>P105</x:v>
      </x:c>
      <x:c r="B109" s="4" t="str">
        <x:v>PI-MACRO-05</x:v>
      </x:c>
      <x:c r="C109" s="4" t="n">
        <x:v>1</x:v>
      </x:c>
      <x:c r="D109" s="4" t="str">
        <x:v>低位补库启动</x:v>
      </x:c>
      <x:c r="E109" s="4" t="str">
        <x:v>宏观与联动信息</x:v>
      </x:c>
      <x:c r="F109" s="4" t="str">
        <x:v>普通</x:v>
      </x:c>
      <x:c r="G109" s="4" t="str">
        <x:v>任一低价区商品</x:v>
      </x:c>
      <x:c r="H109" s="4" t="str">
        <x:v>低位扶升：选择现货位于低价区（第 1—17 格）的一种商品，使其现货上涨 1 格。</x:v>
      </x:c>
      <x:c r="I109" s="4" t="str">
        <x:v>本月立即结算；不跨月</x:v>
      </x:c>
      <x:c r="J109" s="4" t="str">
        <x:v>单次；低位扶升；普通</x:v>
      </x:c>
    </x:row>
    <x:row r="110" ht="28.5" customHeight="1">
      <x:c r="A110" s="4" t="str">
        <x:v>P106</x:v>
      </x:c>
      <x:c r="B110" s="4" t="str">
        <x:v>PI-MACRO-05</x:v>
      </x:c>
      <x:c r="C110" s="4" t="n">
        <x:v>2</x:v>
      </x:c>
      <x:c r="D110" s="4" t="str">
        <x:v>低位补库启动</x:v>
      </x:c>
      <x:c r="E110" s="4" t="str">
        <x:v>宏观与联动信息</x:v>
      </x:c>
      <x:c r="F110" s="4" t="str">
        <x:v>普通</x:v>
      </x:c>
      <x:c r="G110" s="4" t="str">
        <x:v>任一低价区商品</x:v>
      </x:c>
      <x:c r="H110" s="4" t="str">
        <x:v>低位扶升：选择现货位于低价区（第 1—17 格）的一种商品，使其现货上涨 1 格。</x:v>
      </x:c>
      <x:c r="I110" s="4" t="str">
        <x:v>本月立即结算；不跨月</x:v>
      </x:c>
      <x:c r="J110" s="4" t="str">
        <x:v>单次；低位扶升；普通</x:v>
      </x:c>
    </x:row>
    <x:row r="111" ht="28.5" customHeight="1">
      <x:c r="A111" s="4" t="str">
        <x:v>P107</x:v>
      </x:c>
      <x:c r="B111" s="4" t="str">
        <x:v>PI-MACRO-06</x:v>
      </x:c>
      <x:c r="C111" s="4" t="n">
        <x:v>1</x:v>
      </x:c>
      <x:c r="D111" s="4" t="str">
        <x:v>高位需求降温</x:v>
      </x:c>
      <x:c r="E111" s="4" t="str">
        <x:v>宏观与联动信息</x:v>
      </x:c>
      <x:c r="F111" s="4" t="str">
        <x:v>普通</x:v>
      </x:c>
      <x:c r="G111" s="4" t="str">
        <x:v>任一高价区商品</x:v>
      </x:c>
      <x:c r="H111" s="4" t="str">
        <x:v>高位压降：选择现货位于高价区（第 35—51 格）的一种商品，使其现货下跌 1 格。</x:v>
      </x:c>
      <x:c r="I111" s="4" t="str">
        <x:v>本月立即结算；不跨月</x:v>
      </x:c>
      <x:c r="J111" s="4" t="str">
        <x:v>单次；高位压降；普通</x:v>
      </x:c>
    </x:row>
    <x:row r="112" ht="28.5" customHeight="1">
      <x:c r="A112" s="4" t="str">
        <x:v>P108</x:v>
      </x:c>
      <x:c r="B112" s="4" t="str">
        <x:v>PI-MACRO-06</x:v>
      </x:c>
      <x:c r="C112" s="4" t="n">
        <x:v>2</x:v>
      </x:c>
      <x:c r="D112" s="4" t="str">
        <x:v>高位需求降温</x:v>
      </x:c>
      <x:c r="E112" s="4" t="str">
        <x:v>宏观与联动信息</x:v>
      </x:c>
      <x:c r="F112" s="4" t="str">
        <x:v>普通</x:v>
      </x:c>
      <x:c r="G112" s="4" t="str">
        <x:v>任一高价区商品</x:v>
      </x:c>
      <x:c r="H112" s="4" t="str">
        <x:v>高位压降：选择现货位于高价区（第 35—51 格）的一种商品，使其现货下跌 1 格。</x:v>
      </x:c>
      <x:c r="I112" s="4" t="str">
        <x:v>本月立即结算；不跨月</x:v>
      </x:c>
      <x:c r="J112" s="4" t="str">
        <x:v>单次；高位压降；普通</x:v>
      </x:c>
    </x:row>
    <x:row r="113" ht="28.5" customHeight="1">
      <x:c r="A113" s="4" t="str">
        <x:v>P109</x:v>
      </x:c>
      <x:c r="B113" s="4" t="str">
        <x:v>PI-MACRO-07</x:v>
      </x:c>
      <x:c r="C113" s="4" t="n">
        <x:v>1</x:v>
      </x:c>
      <x:c r="D113" s="4" t="str">
        <x:v>价值资金集中入场</x:v>
      </x:c>
      <x:c r="E113" s="4" t="str">
        <x:v>宏观与联动信息</x:v>
      </x:c>
      <x:c r="F113" s="4" t="str">
        <x:v>强烈</x:v>
      </x:c>
      <x:c r="G113" s="4" t="str">
        <x:v>任一低价区商品</x:v>
      </x:c>
      <x:c r="H113" s="4" t="str">
        <x:v>低位扶升：选择现货位于低价区（第 1—17 格）的一种商品，使其现货上涨 2 格。</x:v>
      </x:c>
      <x:c r="I113" s="4" t="str">
        <x:v>本月立即结算；不跨月</x:v>
      </x:c>
      <x:c r="J113" s="4" t="str">
        <x:v>单次；低位扶升；强烈</x:v>
      </x:c>
    </x:row>
    <x:row r="114" ht="28.5" customHeight="1">
      <x:c r="A114" s="4" t="str">
        <x:v>P110</x:v>
      </x:c>
      <x:c r="B114" s="4" t="str">
        <x:v>PI-MACRO-07</x:v>
      </x:c>
      <x:c r="C114" s="4" t="n">
        <x:v>2</x:v>
      </x:c>
      <x:c r="D114" s="4" t="str">
        <x:v>价值资金集中入场</x:v>
      </x:c>
      <x:c r="E114" s="4" t="str">
        <x:v>宏观与联动信息</x:v>
      </x:c>
      <x:c r="F114" s="4" t="str">
        <x:v>强烈</x:v>
      </x:c>
      <x:c r="G114" s="4" t="str">
        <x:v>任一低价区商品</x:v>
      </x:c>
      <x:c r="H114" s="4" t="str">
        <x:v>低位扶升：选择现货位于低价区（第 1—17 格）的一种商品，使其现货上涨 2 格。</x:v>
      </x:c>
      <x:c r="I114" s="4" t="str">
        <x:v>本月立即结算；不跨月</x:v>
      </x:c>
      <x:c r="J114" s="4" t="str">
        <x:v>单次；低位扶升；强烈</x:v>
      </x:c>
    </x:row>
    <x:row r="115" ht="28.5" customHeight="1">
      <x:c r="A115" s="4" t="str">
        <x:v>P111</x:v>
      </x:c>
      <x:c r="B115" s="4" t="str">
        <x:v>PI-MACRO-08</x:v>
      </x:c>
      <x:c r="C115" s="4" t="n">
        <x:v>1</x:v>
      </x:c>
      <x:c r="D115" s="4" t="str">
        <x:v>泡沫去杠杆踩踏</x:v>
      </x:c>
      <x:c r="E115" s="4" t="str">
        <x:v>宏观与联动信息</x:v>
      </x:c>
      <x:c r="F115" s="4" t="str">
        <x:v>强烈</x:v>
      </x:c>
      <x:c r="G115" s="4" t="str">
        <x:v>任一高价区商品</x:v>
      </x:c>
      <x:c r="H115" s="4" t="str">
        <x:v>高位压降：选择现货位于高价区（第 35—51 格）的一种商品，使其现货下跌 2 格。</x:v>
      </x:c>
      <x:c r="I115" s="4" t="str">
        <x:v>本月立即结算；不跨月</x:v>
      </x:c>
      <x:c r="J115" s="4" t="str">
        <x:v>单次；高位压降；强烈</x:v>
      </x:c>
    </x:row>
    <x:row r="116" ht="28.5" customHeight="1">
      <x:c r="A116" s="4" t="str">
        <x:v>P112</x:v>
      </x:c>
      <x:c r="B116" s="4" t="str">
        <x:v>PI-MACRO-08</x:v>
      </x:c>
      <x:c r="C116" s="4" t="n">
        <x:v>2</x:v>
      </x:c>
      <x:c r="D116" s="4" t="str">
        <x:v>泡沫去杠杆踩踏</x:v>
      </x:c>
      <x:c r="E116" s="4" t="str">
        <x:v>宏观与联动信息</x:v>
      </x:c>
      <x:c r="F116" s="4" t="str">
        <x:v>强烈</x:v>
      </x:c>
      <x:c r="G116" s="4" t="str">
        <x:v>任一高价区商品</x:v>
      </x:c>
      <x:c r="H116" s="4" t="str">
        <x:v>高位压降：选择现货位于高价区（第 35—51 格）的一种商品，使其现货下跌 2 格。</x:v>
      </x:c>
      <x:c r="I116" s="4" t="str">
        <x:v>本月立即结算；不跨月</x:v>
      </x:c>
      <x:c r="J116" s="4" t="str">
        <x:v>单次；高位压降；强烈</x:v>
      </x:c>
    </x:row>
    <x:row r="117" ht="28.5" customHeight="1">
      <x:c r="A117" s="4" t="s">
        <x:v>394</x:v>
      </x:c>
      <x:c r="B117" s="4" t="s">
        <x:v>198</x:v>
      </x:c>
      <x:c r="C117" s="4">
        <x:v>1</x:v>
      </x:c>
      <x:c r="D117" s="4" t="s">
        <x:v>199</x:v>
      </x:c>
      <x:c r="E117" s="4" t="s">
        <x:v>11</x:v>
      </x:c>
      <x:c r="F117" s="4" t="s">
        <x:v>23</x:v>
      </x:c>
      <x:c r="G117" s="4" t="s">
        <x:v>200</x:v>
      </x:c>
      <x:c r="H117" s="4" t="s">
        <x:v>201</x:v>
      </x:c>
      <x:c r="I117" s="4" t="s">
        <x:v>67</x:v>
      </x:c>
      <x:c r="J117" s="4" t="s">
        <x:v>186</x:v>
      </x:c>
    </x:row>
    <x:row r="118" ht="28.5" customHeight="1">
      <x:c r="A118" s="4" t="s">
        <x:v>395</x:v>
      </x:c>
      <x:c r="B118" s="4" t="s">
        <x:v>198</x:v>
      </x:c>
      <x:c r="C118" s="4">
        <x:v>2</x:v>
      </x:c>
      <x:c r="D118" s="4" t="s">
        <x:v>199</x:v>
      </x:c>
      <x:c r="E118" s="4" t="s">
        <x:v>11</x:v>
      </x:c>
      <x:c r="F118" s="4" t="s">
        <x:v>23</x:v>
      </x:c>
      <x:c r="G118" s="4" t="s">
        <x:v>200</x:v>
      </x:c>
      <x:c r="H118" s="4" t="s">
        <x:v>201</x:v>
      </x:c>
      <x:c r="I118" s="4" t="s">
        <x:v>67</x:v>
      </x:c>
      <x:c r="J118" s="4" t="s">
        <x:v>186</x:v>
      </x:c>
    </x:row>
    <x:row r="119" ht="28.5" customHeight="1">
      <x:c r="A119" s="4" t="s">
        <x:v>396</x:v>
      </x:c>
      <x:c r="B119" s="4" t="s">
        <x:v>202</x:v>
      </x:c>
      <x:c r="C119" s="4">
        <x:v>1</x:v>
      </x:c>
      <x:c r="D119" s="4" t="s">
        <x:v>203</x:v>
      </x:c>
      <x:c r="E119" s="4" t="s">
        <x:v>11</x:v>
      </x:c>
      <x:c r="F119" s="4" t="s">
        <x:v>23</x:v>
      </x:c>
      <x:c r="G119" s="4" t="s">
        <x:v>200</x:v>
      </x:c>
      <x:c r="H119" s="4" t="s">
        <x:v>204</x:v>
      </x:c>
      <x:c r="I119" s="4" t="s">
        <x:v>67</x:v>
      </x:c>
      <x:c r="J119" s="4" t="s">
        <x:v>186</x:v>
      </x:c>
    </x:row>
    <x:row r="120" ht="28.5" customHeight="1">
      <x:c r="A120" s="4" t="s">
        <x:v>397</x:v>
      </x:c>
      <x:c r="B120" s="4" t="s">
        <x:v>202</x:v>
      </x:c>
      <x:c r="C120" s="4">
        <x:v>2</x:v>
      </x:c>
      <x:c r="D120" s="4" t="s">
        <x:v>203</x:v>
      </x:c>
      <x:c r="E120" s="4" t="s">
        <x:v>11</x:v>
      </x:c>
      <x:c r="F120" s="4" t="s">
        <x:v>23</x:v>
      </x:c>
      <x:c r="G120" s="4" t="s">
        <x:v>200</x:v>
      </x:c>
      <x:c r="H120" s="4" t="s">
        <x:v>204</x:v>
      </x:c>
      <x:c r="I120" s="4" t="s">
        <x:v>67</x:v>
      </x:c>
      <x:c r="J120" s="4" t="s">
        <x:v>186</x:v>
      </x:c>
    </x:row>
    <x:row r="121" ht="28.5" customHeight="1">
      <x:c r="A121" s="4" t="s">
        <x:v>398</x:v>
      </x:c>
      <x:c r="B121" s="4" t="s">
        <x:v>205</x:v>
      </x:c>
      <x:c r="C121" s="4">
        <x:v>1</x:v>
      </x:c>
      <x:c r="D121" s="4" t="s">
        <x:v>206</x:v>
      </x:c>
      <x:c r="E121" s="4" t="s">
        <x:v>11</x:v>
      </x:c>
      <x:c r="F121" s="4" t="s">
        <x:v>24</x:v>
      </x:c>
      <x:c r="G121" s="4" t="s">
        <x:v>208</x:v>
      </x:c>
      <x:c r="H121" s="4" t="s">
        <x:v>209</x:v>
      </x:c>
      <x:c r="I121" s="4" t="s">
        <x:v>67</x:v>
      </x:c>
      <x:c r="J121" s="4" t="s">
        <x:v>210</x:v>
      </x:c>
    </x:row>
    <x:row r="122" ht="28.5" customHeight="1">
      <x:c r="A122" s="4" t="s">
        <x:v>399</x:v>
      </x:c>
      <x:c r="B122" s="4" t="s">
        <x:v>205</x:v>
      </x:c>
      <x:c r="C122" s="4">
        <x:v>2</x:v>
      </x:c>
      <x:c r="D122" s="4" t="s">
        <x:v>206</x:v>
      </x:c>
      <x:c r="E122" s="4" t="s">
        <x:v>11</x:v>
      </x:c>
      <x:c r="F122" s="4" t="s">
        <x:v>24</x:v>
      </x:c>
      <x:c r="G122" s="4" t="s">
        <x:v>208</x:v>
      </x:c>
      <x:c r="H122" s="4" t="s">
        <x:v>209</x:v>
      </x:c>
      <x:c r="I122" s="4" t="s">
        <x:v>67</x:v>
      </x:c>
      <x:c r="J122" s="4" t="s">
        <x:v>210</x:v>
      </x:c>
    </x:row>
    <x:row r="123" ht="28.5" customHeight="1">
      <x:c r="A123" s="4" t="s">
        <x:v>400</x:v>
      </x:c>
      <x:c r="B123" s="4" t="s">
        <x:v>212</x:v>
      </x:c>
      <x:c r="C123" s="4">
        <x:v>1</x:v>
      </x:c>
      <x:c r="D123" s="4" t="s">
        <x:v>213</x:v>
      </x:c>
      <x:c r="E123" s="4" t="s">
        <x:v>11</x:v>
      </x:c>
      <x:c r="F123" s="4" t="s">
        <x:v>24</x:v>
      </x:c>
      <x:c r="G123" s="4" t="s">
        <x:v>208</x:v>
      </x:c>
      <x:c r="H123" s="4" t="s">
        <x:v>214</x:v>
      </x:c>
      <x:c r="I123" s="4" t="s">
        <x:v>67</x:v>
      </x:c>
      <x:c r="J123" s="4" t="s">
        <x:v>210</x:v>
      </x:c>
    </x:row>
    <x:row r="124" ht="28.5" customHeight="1">
      <x:c r="A124" s="4" t="s">
        <x:v>401</x:v>
      </x:c>
      <x:c r="B124" s="4" t="s">
        <x:v>212</x:v>
      </x:c>
      <x:c r="C124" s="4">
        <x:v>2</x:v>
      </x:c>
      <x:c r="D124" s="4" t="s">
        <x:v>213</x:v>
      </x:c>
      <x:c r="E124" s="4" t="s">
        <x:v>11</x:v>
      </x:c>
      <x:c r="F124" s="4" t="s">
        <x:v>24</x:v>
      </x:c>
      <x:c r="G124" s="4" t="s">
        <x:v>208</x:v>
      </x:c>
      <x:c r="H124" s="4" t="s">
        <x:v>214</x:v>
      </x:c>
      <x:c r="I124" s="4" t="s">
        <x:v>67</x:v>
      </x:c>
      <x:c r="J124" s="4" t="s">
        <x:v>210</x:v>
      </x:c>
    </x:row>
    <x:row r="125" ht="28.5" customHeight="1">
      <x:c r="A125" s="4" t="s">
        <x:v>402</x:v>
      </x:c>
      <x:c r="B125" s="4" t="s">
        <x:v>215</x:v>
      </x:c>
      <x:c r="C125" s="4">
        <x:v>1</x:v>
      </x:c>
      <x:c r="D125" s="4" t="s">
        <x:v>216</x:v>
      </x:c>
      <x:c r="E125" s="4" t="s">
        <x:v>13</x:v>
      </x:c>
      <x:c r="F125" s="4" t="s">
        <x:v>28</x:v>
      </x:c>
      <x:c r="G125" s="4" t="s">
        <x:v>64</x:v>
      </x:c>
      <x:c r="H125" s="4" t="s">
        <x:v>218</x:v>
      </x:c>
      <x:c r="I125" s="4" t="s">
        <x:v>219</x:v>
      </x:c>
      <x:c r="J125" s="4" t="s">
        <x:v>220</x:v>
      </x:c>
    </x:row>
    <x:row r="126" ht="28.5" customHeight="1">
      <x:c r="A126" s="4" t="s">
        <x:v>403</x:v>
      </x:c>
      <x:c r="B126" s="4" t="s">
        <x:v>215</x:v>
      </x:c>
      <x:c r="C126" s="4">
        <x:v>2</x:v>
      </x:c>
      <x:c r="D126" s="4" t="s">
        <x:v>216</x:v>
      </x:c>
      <x:c r="E126" s="4" t="s">
        <x:v>13</x:v>
      </x:c>
      <x:c r="F126" s="4" t="s">
        <x:v>28</x:v>
      </x:c>
      <x:c r="G126" s="4" t="s">
        <x:v>64</x:v>
      </x:c>
      <x:c r="H126" s="4" t="s">
        <x:v>218</x:v>
      </x:c>
      <x:c r="I126" s="4" t="s">
        <x:v>219</x:v>
      </x:c>
      <x:c r="J126" s="4" t="s">
        <x:v>220</x:v>
      </x:c>
    </x:row>
    <x:row r="127" ht="28.5" customHeight="1">
      <x:c r="A127" s="4" t="s">
        <x:v>404</x:v>
      </x:c>
      <x:c r="B127" s="4" t="s">
        <x:v>221</x:v>
      </x:c>
      <x:c r="C127" s="4">
        <x:v>1</x:v>
      </x:c>
      <x:c r="D127" s="4" t="s">
        <x:v>222</x:v>
      </x:c>
      <x:c r="E127" s="4" t="s">
        <x:v>13</x:v>
      </x:c>
      <x:c r="F127" s="4" t="s">
        <x:v>28</x:v>
      </x:c>
      <x:c r="G127" s="4" t="s">
        <x:v>64</x:v>
      </x:c>
      <x:c r="H127" s="4" t="s">
        <x:v>224</x:v>
      </x:c>
      <x:c r="I127" s="4" t="s">
        <x:v>219</x:v>
      </x:c>
      <x:c r="J127" s="4" t="s">
        <x:v>225</x:v>
      </x:c>
    </x:row>
    <x:row r="128" ht="28.5" customHeight="1">
      <x:c r="A128" s="4" t="s">
        <x:v>405</x:v>
      </x:c>
      <x:c r="B128" s="4" t="s">
        <x:v>221</x:v>
      </x:c>
      <x:c r="C128" s="4">
        <x:v>2</x:v>
      </x:c>
      <x:c r="D128" s="4" t="s">
        <x:v>222</x:v>
      </x:c>
      <x:c r="E128" s="4" t="s">
        <x:v>13</x:v>
      </x:c>
      <x:c r="F128" s="4" t="s">
        <x:v>28</x:v>
      </x:c>
      <x:c r="G128" s="4" t="s">
        <x:v>64</x:v>
      </x:c>
      <x:c r="H128" s="4" t="s">
        <x:v>224</x:v>
      </x:c>
      <x:c r="I128" s="4" t="s">
        <x:v>219</x:v>
      </x:c>
      <x:c r="J128" s="4" t="s">
        <x:v>225</x:v>
      </x:c>
    </x:row>
    <x:row r="129" ht="28.5" customHeight="1">
      <x:c r="A129" s="4" t="s">
        <x:v>406</x:v>
      </x:c>
      <x:c r="B129" s="4" t="s">
        <x:v>226</x:v>
      </x:c>
      <x:c r="C129" s="4">
        <x:v>1</x:v>
      </x:c>
      <x:c r="D129" s="4" t="s">
        <x:v>227</x:v>
      </x:c>
      <x:c r="E129" s="4" t="s">
        <x:v>13</x:v>
      </x:c>
      <x:c r="F129" s="4" t="s">
        <x:v>28</x:v>
      </x:c>
      <x:c r="G129" s="4" t="s">
        <x:v>102</x:v>
      </x:c>
      <x:c r="H129" s="4" t="s">
        <x:v>228</x:v>
      </x:c>
      <x:c r="I129" s="4" t="s">
        <x:v>219</x:v>
      </x:c>
      <x:c r="J129" s="4" t="s">
        <x:v>220</x:v>
      </x:c>
    </x:row>
    <x:row r="130" ht="28.5" customHeight="1">
      <x:c r="A130" s="4" t="s">
        <x:v>407</x:v>
      </x:c>
      <x:c r="B130" s="4" t="s">
        <x:v>226</x:v>
      </x:c>
      <x:c r="C130" s="4">
        <x:v>2</x:v>
      </x:c>
      <x:c r="D130" s="4" t="s">
        <x:v>227</x:v>
      </x:c>
      <x:c r="E130" s="4" t="s">
        <x:v>13</x:v>
      </x:c>
      <x:c r="F130" s="4" t="s">
        <x:v>28</x:v>
      </x:c>
      <x:c r="G130" s="4" t="s">
        <x:v>102</x:v>
      </x:c>
      <x:c r="H130" s="4" t="s">
        <x:v>228</x:v>
      </x:c>
      <x:c r="I130" s="4" t="s">
        <x:v>219</x:v>
      </x:c>
      <x:c r="J130" s="4" t="s">
        <x:v>220</x:v>
      </x:c>
    </x:row>
    <x:row r="131" ht="28.5" customHeight="1">
      <x:c r="A131" s="4" t="s">
        <x:v>408</x:v>
      </x:c>
      <x:c r="B131" s="4" t="s">
        <x:v>229</x:v>
      </x:c>
      <x:c r="C131" s="4">
        <x:v>1</x:v>
      </x:c>
      <x:c r="D131" s="4" t="s">
        <x:v>230</x:v>
      </x:c>
      <x:c r="E131" s="4" t="s">
        <x:v>13</x:v>
      </x:c>
      <x:c r="F131" s="4" t="s">
        <x:v>28</x:v>
      </x:c>
      <x:c r="G131" s="4" t="s">
        <x:v>102</x:v>
      </x:c>
      <x:c r="H131" s="4" t="s">
        <x:v>231</x:v>
      </x:c>
      <x:c r="I131" s="4" t="s">
        <x:v>219</x:v>
      </x:c>
      <x:c r="J131" s="4" t="s">
        <x:v>225</x:v>
      </x:c>
    </x:row>
    <x:row r="132" ht="28.5" customHeight="1">
      <x:c r="A132" s="4" t="s">
        <x:v>409</x:v>
      </x:c>
      <x:c r="B132" s="4" t="s">
        <x:v>229</x:v>
      </x:c>
      <x:c r="C132" s="4">
        <x:v>2</x:v>
      </x:c>
      <x:c r="D132" s="4" t="s">
        <x:v>230</x:v>
      </x:c>
      <x:c r="E132" s="4" t="s">
        <x:v>13</x:v>
      </x:c>
      <x:c r="F132" s="4" t="s">
        <x:v>28</x:v>
      </x:c>
      <x:c r="G132" s="4" t="s">
        <x:v>102</x:v>
      </x:c>
      <x:c r="H132" s="4" t="s">
        <x:v>231</x:v>
      </x:c>
      <x:c r="I132" s="4" t="s">
        <x:v>219</x:v>
      </x:c>
      <x:c r="J132" s="4" t="s">
        <x:v>225</x:v>
      </x:c>
    </x:row>
    <x:row r="133" ht="28.5" customHeight="1">
      <x:c r="A133" s="4" t="s">
        <x:v>410</x:v>
      </x:c>
      <x:c r="B133" s="4" t="s">
        <x:v>232</x:v>
      </x:c>
      <x:c r="C133" s="4">
        <x:v>1</x:v>
      </x:c>
      <x:c r="D133" s="4" t="s">
        <x:v>233</x:v>
      </x:c>
      <x:c r="E133" s="4" t="s">
        <x:v>13</x:v>
      </x:c>
      <x:c r="F133" s="4" t="s">
        <x:v>28</x:v>
      </x:c>
      <x:c r="G133" s="4" t="s">
        <x:v>129</x:v>
      </x:c>
      <x:c r="H133" s="4" t="s">
        <x:v>234</x:v>
      </x:c>
      <x:c r="I133" s="4" t="s">
        <x:v>219</x:v>
      </x:c>
      <x:c r="J133" s="4" t="s">
        <x:v>220</x:v>
      </x:c>
    </x:row>
    <x:row r="134" ht="28.5" customHeight="1">
      <x:c r="A134" s="4" t="s">
        <x:v>411</x:v>
      </x:c>
      <x:c r="B134" s="4" t="s">
        <x:v>232</x:v>
      </x:c>
      <x:c r="C134" s="4">
        <x:v>2</x:v>
      </x:c>
      <x:c r="D134" s="4" t="s">
        <x:v>233</x:v>
      </x:c>
      <x:c r="E134" s="4" t="s">
        <x:v>13</x:v>
      </x:c>
      <x:c r="F134" s="4" t="s">
        <x:v>28</x:v>
      </x:c>
      <x:c r="G134" s="4" t="s">
        <x:v>129</x:v>
      </x:c>
      <x:c r="H134" s="4" t="s">
        <x:v>234</x:v>
      </x:c>
      <x:c r="I134" s="4" t="s">
        <x:v>219</x:v>
      </x:c>
      <x:c r="J134" s="4" t="s">
        <x:v>220</x:v>
      </x:c>
    </x:row>
    <x:row r="135" ht="28.5" customHeight="1">
      <x:c r="A135" s="4" t="s">
        <x:v>412</x:v>
      </x:c>
      <x:c r="B135" s="4" t="s">
        <x:v>235</x:v>
      </x:c>
      <x:c r="C135" s="4">
        <x:v>1</x:v>
      </x:c>
      <x:c r="D135" s="4" t="s">
        <x:v>236</x:v>
      </x:c>
      <x:c r="E135" s="4" t="s">
        <x:v>13</x:v>
      </x:c>
      <x:c r="F135" s="4" t="s">
        <x:v>28</x:v>
      </x:c>
      <x:c r="G135" s="4" t="s">
        <x:v>129</x:v>
      </x:c>
      <x:c r="H135" s="4" t="s">
        <x:v>237</x:v>
      </x:c>
      <x:c r="I135" s="4" t="s">
        <x:v>219</x:v>
      </x:c>
      <x:c r="J135" s="4" t="s">
        <x:v>225</x:v>
      </x:c>
    </x:row>
    <x:row r="136" ht="28.5" customHeight="1">
      <x:c r="A136" s="4" t="s">
        <x:v>413</x:v>
      </x:c>
      <x:c r="B136" s="4" t="s">
        <x:v>235</x:v>
      </x:c>
      <x:c r="C136" s="4">
        <x:v>2</x:v>
      </x:c>
      <x:c r="D136" s="4" t="s">
        <x:v>236</x:v>
      </x:c>
      <x:c r="E136" s="4" t="s">
        <x:v>13</x:v>
      </x:c>
      <x:c r="F136" s="4" t="s">
        <x:v>28</x:v>
      </x:c>
      <x:c r="G136" s="4" t="s">
        <x:v>129</x:v>
      </x:c>
      <x:c r="H136" s="4" t="s">
        <x:v>237</x:v>
      </x:c>
      <x:c r="I136" s="4" t="s">
        <x:v>219</x:v>
      </x:c>
      <x:c r="J136" s="4" t="s">
        <x:v>225</x:v>
      </x:c>
    </x:row>
    <x:row r="137" ht="28.5" customHeight="1">
      <x:c r="A137" s="4" t="s">
        <x:v>414</x:v>
      </x:c>
      <x:c r="B137" s="4" t="s">
        <x:v>238</x:v>
      </x:c>
      <x:c r="C137" s="4">
        <x:v>1</x:v>
      </x:c>
      <x:c r="D137" s="4" t="s">
        <x:v>239</x:v>
      </x:c>
      <x:c r="E137" s="4" t="s">
        <x:v>13</x:v>
      </x:c>
      <x:c r="F137" s="4" t="s">
        <x:v>28</x:v>
      </x:c>
      <x:c r="G137" s="4" t="s">
        <x:v>156</x:v>
      </x:c>
      <x:c r="H137" s="4" t="s">
        <x:v>240</x:v>
      </x:c>
      <x:c r="I137" s="4" t="s">
        <x:v>219</x:v>
      </x:c>
      <x:c r="J137" s="4" t="s">
        <x:v>220</x:v>
      </x:c>
    </x:row>
    <x:row r="138" ht="28.5" customHeight="1">
      <x:c r="A138" s="4" t="s">
        <x:v>415</x:v>
      </x:c>
      <x:c r="B138" s="4" t="s">
        <x:v>238</x:v>
      </x:c>
      <x:c r="C138" s="4">
        <x:v>2</x:v>
      </x:c>
      <x:c r="D138" s="4" t="s">
        <x:v>239</x:v>
      </x:c>
      <x:c r="E138" s="4" t="s">
        <x:v>13</x:v>
      </x:c>
      <x:c r="F138" s="4" t="s">
        <x:v>28</x:v>
      </x:c>
      <x:c r="G138" s="4" t="s">
        <x:v>156</x:v>
      </x:c>
      <x:c r="H138" s="4" t="s">
        <x:v>240</x:v>
      </x:c>
      <x:c r="I138" s="4" t="s">
        <x:v>219</x:v>
      </x:c>
      <x:c r="J138" s="4" t="s">
        <x:v>220</x:v>
      </x:c>
    </x:row>
    <x:row r="139" ht="28.5" customHeight="1">
      <x:c r="A139" s="4" t="s">
        <x:v>416</x:v>
      </x:c>
      <x:c r="B139" s="4" t="s">
        <x:v>241</x:v>
      </x:c>
      <x:c r="C139" s="4">
        <x:v>1</x:v>
      </x:c>
      <x:c r="D139" s="4" t="s">
        <x:v>242</x:v>
      </x:c>
      <x:c r="E139" s="4" t="s">
        <x:v>13</x:v>
      </x:c>
      <x:c r="F139" s="4" t="s">
        <x:v>28</x:v>
      </x:c>
      <x:c r="G139" s="4" t="s">
        <x:v>156</x:v>
      </x:c>
      <x:c r="H139" s="4" t="s">
        <x:v>243</x:v>
      </x:c>
      <x:c r="I139" s="4" t="s">
        <x:v>219</x:v>
      </x:c>
      <x:c r="J139" s="4" t="s">
        <x:v>225</x:v>
      </x:c>
    </x:row>
    <x:row r="140" ht="28.5" customHeight="1">
      <x:c r="A140" s="4" t="s">
        <x:v>417</x:v>
      </x:c>
      <x:c r="B140" s="4" t="s">
        <x:v>241</x:v>
      </x:c>
      <x:c r="C140" s="4">
        <x:v>2</x:v>
      </x:c>
      <x:c r="D140" s="4" t="s">
        <x:v>242</x:v>
      </x:c>
      <x:c r="E140" s="4" t="s">
        <x:v>13</x:v>
      </x:c>
      <x:c r="F140" s="4" t="s">
        <x:v>28</x:v>
      </x:c>
      <x:c r="G140" s="4" t="s">
        <x:v>156</x:v>
      </x:c>
      <x:c r="H140" s="4" t="s">
        <x:v>243</x:v>
      </x:c>
      <x:c r="I140" s="4" t="s">
        <x:v>219</x:v>
      </x:c>
      <x:c r="J140" s="4" t="s">
        <x:v>225</x:v>
      </x:c>
    </x:row>
    <x:row r="141" ht="28.5" customHeight="1">
      <x:c r="A141" s="4" t="s">
        <x:v>418</x:v>
      </x:c>
      <x:c r="B141" s="4" t="s">
        <x:v>244</x:v>
      </x:c>
      <x:c r="C141" s="4">
        <x:v>1</x:v>
      </x:c>
      <x:c r="D141" s="4" t="s">
        <x:v>245</x:v>
      </x:c>
      <x:c r="E141" s="4" t="s">
        <x:v>15</x:v>
      </x:c>
      <x:c r="F141" s="4" t="s">
        <x:v>32</x:v>
      </x:c>
      <x:c r="G141" s="4" t="s">
        <x:v>247</x:v>
      </x:c>
      <x:c r="H141" s="4" t="s">
        <x:v>248</x:v>
      </x:c>
      <x:c r="I141" s="4" t="s">
        <x:v>249</x:v>
      </x:c>
      <x:c r="J141" s="4" t="s">
        <x:v>250</x:v>
      </x:c>
    </x:row>
    <x:row r="142" ht="28.5" customHeight="1">
      <x:c r="A142" s="4" t="s">
        <x:v>419</x:v>
      </x:c>
      <x:c r="B142" s="4" t="s">
        <x:v>244</x:v>
      </x:c>
      <x:c r="C142" s="4">
        <x:v>2</x:v>
      </x:c>
      <x:c r="D142" s="4" t="s">
        <x:v>245</x:v>
      </x:c>
      <x:c r="E142" s="4" t="s">
        <x:v>15</x:v>
      </x:c>
      <x:c r="F142" s="4" t="s">
        <x:v>32</x:v>
      </x:c>
      <x:c r="G142" s="4" t="s">
        <x:v>247</x:v>
      </x:c>
      <x:c r="H142" s="4" t="s">
        <x:v>248</x:v>
      </x:c>
      <x:c r="I142" s="4" t="s">
        <x:v>249</x:v>
      </x:c>
      <x:c r="J142" s="4" t="s">
        <x:v>250</x:v>
      </x:c>
    </x:row>
    <x:row r="143" ht="28.5" customHeight="1">
      <x:c r="A143" s="4" t="s">
        <x:v>420</x:v>
      </x:c>
      <x:c r="B143" s="4" t="s">
        <x:v>244</x:v>
      </x:c>
      <x:c r="C143" s="4">
        <x:v>3</x:v>
      </x:c>
      <x:c r="D143" s="4" t="s">
        <x:v>245</x:v>
      </x:c>
      <x:c r="E143" s="4" t="s">
        <x:v>15</x:v>
      </x:c>
      <x:c r="F143" s="4" t="s">
        <x:v>32</x:v>
      </x:c>
      <x:c r="G143" s="4" t="s">
        <x:v>247</x:v>
      </x:c>
      <x:c r="H143" s="4" t="s">
        <x:v>248</x:v>
      </x:c>
      <x:c r="I143" s="4" t="s">
        <x:v>249</x:v>
      </x:c>
      <x:c r="J143" s="4" t="s">
        <x:v>250</x:v>
      </x:c>
    </x:row>
    <x:row r="144" ht="28.5" customHeight="1">
      <x:c r="A144" s="4" t="s">
        <x:v>421</x:v>
      </x:c>
      <x:c r="B144" s="4" t="s">
        <x:v>252</x:v>
      </x:c>
      <x:c r="C144" s="4">
        <x:v>1</x:v>
      </x:c>
      <x:c r="D144" s="4" t="s">
        <x:v>253</x:v>
      </x:c>
      <x:c r="E144" s="4" t="s">
        <x:v>15</x:v>
      </x:c>
      <x:c r="F144" s="4" t="s">
        <x:v>32</x:v>
      </x:c>
      <x:c r="G144" s="4" t="s">
        <x:v>254</x:v>
      </x:c>
      <x:c r="H144" s="4" t="s">
        <x:v>255</x:v>
      </x:c>
      <x:c r="I144" s="4" t="s">
        <x:v>249</x:v>
      </x:c>
      <x:c r="J144" s="4" t="s">
        <x:v>256</x:v>
      </x:c>
    </x:row>
    <x:row r="145" ht="28.5" customHeight="1">
      <x:c r="A145" s="4" t="s">
        <x:v>422</x:v>
      </x:c>
      <x:c r="B145" s="4" t="s">
        <x:v>252</x:v>
      </x:c>
      <x:c r="C145" s="4">
        <x:v>2</x:v>
      </x:c>
      <x:c r="D145" s="4" t="s">
        <x:v>253</x:v>
      </x:c>
      <x:c r="E145" s="4" t="s">
        <x:v>15</x:v>
      </x:c>
      <x:c r="F145" s="4" t="s">
        <x:v>32</x:v>
      </x:c>
      <x:c r="G145" s="4" t="s">
        <x:v>254</x:v>
      </x:c>
      <x:c r="H145" s="4" t="s">
        <x:v>255</x:v>
      </x:c>
      <x:c r="I145" s="4" t="s">
        <x:v>249</x:v>
      </x:c>
      <x:c r="J145" s="4" t="s">
        <x:v>256</x:v>
      </x:c>
    </x:row>
    <x:row r="146" ht="28.5" customHeight="1">
      <x:c r="A146" s="4" t="s">
        <x:v>423</x:v>
      </x:c>
      <x:c r="B146" s="4" t="s">
        <x:v>252</x:v>
      </x:c>
      <x:c r="C146" s="4">
        <x:v>3</x:v>
      </x:c>
      <x:c r="D146" s="4" t="s">
        <x:v>253</x:v>
      </x:c>
      <x:c r="E146" s="4" t="s">
        <x:v>15</x:v>
      </x:c>
      <x:c r="F146" s="4" t="s">
        <x:v>32</x:v>
      </x:c>
      <x:c r="G146" s="4" t="s">
        <x:v>254</x:v>
      </x:c>
      <x:c r="H146" s="4" t="s">
        <x:v>255</x:v>
      </x:c>
      <x:c r="I146" s="4" t="s">
        <x:v>249</x:v>
      </x:c>
      <x:c r="J146" s="4" t="s">
        <x:v>256</x:v>
      </x:c>
    </x:row>
    <x:row r="147" ht="28.5" customHeight="1">
      <x:c r="A147" s="4" t="s">
        <x:v>424</x:v>
      </x:c>
      <x:c r="B147" s="4" t="s">
        <x:v>257</x:v>
      </x:c>
      <x:c r="C147" s="4">
        <x:v>1</x:v>
      </x:c>
      <x:c r="D147" s="4" t="s">
        <x:v>258</x:v>
      </x:c>
      <x:c r="E147" s="4" t="s">
        <x:v>15</x:v>
      </x:c>
      <x:c r="F147" s="4" t="s">
        <x:v>32</x:v>
      </x:c>
      <x:c r="G147" s="4" t="s">
        <x:v>260</x:v>
      </x:c>
      <x:c r="H147" s="4" t="s">
        <x:v>261</x:v>
      </x:c>
      <x:c r="I147" s="4" t="s">
        <x:v>249</x:v>
      </x:c>
      <x:c r="J147" s="4" t="s">
        <x:v>262</x:v>
      </x:c>
    </x:row>
    <x:row r="148" ht="28.5" customHeight="1">
      <x:c r="A148" s="4" t="s">
        <x:v>425</x:v>
      </x:c>
      <x:c r="B148" s="4" t="s">
        <x:v>257</x:v>
      </x:c>
      <x:c r="C148" s="4">
        <x:v>2</x:v>
      </x:c>
      <x:c r="D148" s="4" t="s">
        <x:v>258</x:v>
      </x:c>
      <x:c r="E148" s="4" t="s">
        <x:v>15</x:v>
      </x:c>
      <x:c r="F148" s="4" t="s">
        <x:v>32</x:v>
      </x:c>
      <x:c r="G148" s="4" t="s">
        <x:v>260</x:v>
      </x:c>
      <x:c r="H148" s="4" t="s">
        <x:v>261</x:v>
      </x:c>
      <x:c r="I148" s="4" t="s">
        <x:v>249</x:v>
      </x:c>
      <x:c r="J148" s="4" t="s">
        <x:v>262</x:v>
      </x:c>
    </x:row>
    <x:row r="149" ht="28.5" customHeight="1">
      <x:c r="A149" s="4" t="s">
        <x:v>426</x:v>
      </x:c>
      <x:c r="B149" s="4" t="s">
        <x:v>257</x:v>
      </x:c>
      <x:c r="C149" s="4">
        <x:v>3</x:v>
      </x:c>
      <x:c r="D149" s="4" t="s">
        <x:v>258</x:v>
      </x:c>
      <x:c r="E149" s="4" t="s">
        <x:v>15</x:v>
      </x:c>
      <x:c r="F149" s="4" t="s">
        <x:v>32</x:v>
      </x:c>
      <x:c r="G149" s="4" t="s">
        <x:v>260</x:v>
      </x:c>
      <x:c r="H149" s="4" t="s">
        <x:v>261</x:v>
      </x:c>
      <x:c r="I149" s="4" t="s">
        <x:v>249</x:v>
      </x:c>
      <x:c r="J149" s="4" t="s">
        <x:v>262</x:v>
      </x:c>
    </x:row>
    <x:row r="150" ht="28.5" customHeight="1">
      <x:c r="A150" s="4" t="s">
        <x:v>427</x:v>
      </x:c>
      <x:c r="B150" s="4" t="s">
        <x:v>257</x:v>
      </x:c>
      <x:c r="C150" s="4">
        <x:v>4</x:v>
      </x:c>
      <x:c r="D150" s="4" t="s">
        <x:v>258</x:v>
      </x:c>
      <x:c r="E150" s="4" t="s">
        <x:v>15</x:v>
      </x:c>
      <x:c r="F150" s="4" t="s">
        <x:v>32</x:v>
      </x:c>
      <x:c r="G150" s="4" t="s">
        <x:v>260</x:v>
      </x:c>
      <x:c r="H150" s="4" t="s">
        <x:v>261</x:v>
      </x:c>
      <x:c r="I150" s="4" t="s">
        <x:v>249</x:v>
      </x:c>
      <x:c r="J150" s="4" t="s">
        <x:v>262</x:v>
      </x:c>
    </x:row>
    <x:row r="151" ht="28.5" customHeight="1">
      <x:c r="A151" s="4" t="s">
        <x:v>428</x:v>
      </x:c>
      <x:c r="B151" s="4" t="s">
        <x:v>263</x:v>
      </x:c>
      <x:c r="C151" s="4">
        <x:v>1</x:v>
      </x:c>
      <x:c r="D151" s="4" t="s">
        <x:v>264</x:v>
      </x:c>
      <x:c r="E151" s="4" t="s">
        <x:v>15</x:v>
      </x:c>
      <x:c r="F151" s="4" t="s">
        <x:v>32</x:v>
      </x:c>
      <x:c r="G151" s="4" t="s">
        <x:v>266</x:v>
      </x:c>
      <x:c r="H151" s="4" t="s">
        <x:v>267</x:v>
      </x:c>
      <x:c r="I151" s="4" t="s">
        <x:v>249</x:v>
      </x:c>
      <x:c r="J151" s="4" t="s">
        <x:v>268</x:v>
      </x:c>
    </x:row>
    <x:row r="152" ht="28.5" customHeight="1">
      <x:c r="A152" s="4" t="s">
        <x:v>429</x:v>
      </x:c>
      <x:c r="B152" s="4" t="s">
        <x:v>263</x:v>
      </x:c>
      <x:c r="C152" s="4">
        <x:v>2</x:v>
      </x:c>
      <x:c r="D152" s="4" t="s">
        <x:v>264</x:v>
      </x:c>
      <x:c r="E152" s="4" t="s">
        <x:v>15</x:v>
      </x:c>
      <x:c r="F152" s="4" t="s">
        <x:v>32</x:v>
      </x:c>
      <x:c r="G152" s="4" t="s">
        <x:v>266</x:v>
      </x:c>
      <x:c r="H152" s="4" t="s">
        <x:v>267</x:v>
      </x:c>
      <x:c r="I152" s="4" t="s">
        <x:v>249</x:v>
      </x:c>
      <x:c r="J152" s="4" t="s">
        <x:v>268</x:v>
      </x:c>
    </x:row>
    <x:row r="153" ht="28.5" customHeight="1">
      <x:c r="A153" s="4" t="s">
        <x:v>430</x:v>
      </x:c>
      <x:c r="B153" s="4" t="s">
        <x:v>263</x:v>
      </x:c>
      <x:c r="C153" s="4">
        <x:v>3</x:v>
      </x:c>
      <x:c r="D153" s="4" t="s">
        <x:v>264</x:v>
      </x:c>
      <x:c r="E153" s="4" t="s">
        <x:v>15</x:v>
      </x:c>
      <x:c r="F153" s="4" t="s">
        <x:v>32</x:v>
      </x:c>
      <x:c r="G153" s="4" t="s">
        <x:v>266</x:v>
      </x:c>
      <x:c r="H153" s="4" t="s">
        <x:v>267</x:v>
      </x:c>
      <x:c r="I153" s="4" t="s">
        <x:v>249</x:v>
      </x:c>
      <x:c r="J153" s="4" t="s">
        <x:v>268</x:v>
      </x:c>
    </x:row>
    <x:row r="154" ht="28.5" customHeight="1">
      <x:c r="A154" s="4" t="s">
        <x:v>431</x:v>
      </x:c>
      <x:c r="B154" s="4" t="s">
        <x:v>263</x:v>
      </x:c>
      <x:c r="C154" s="4">
        <x:v>4</x:v>
      </x:c>
      <x:c r="D154" s="4" t="s">
        <x:v>264</x:v>
      </x:c>
      <x:c r="E154" s="4" t="s">
        <x:v>15</x:v>
      </x:c>
      <x:c r="F154" s="4" t="s">
        <x:v>32</x:v>
      </x:c>
      <x:c r="G154" s="4" t="s">
        <x:v>266</x:v>
      </x:c>
      <x:c r="H154" s="4" t="s">
        <x:v>267</x:v>
      </x:c>
      <x:c r="I154" s="4" t="s">
        <x:v>249</x:v>
      </x:c>
      <x:c r="J154" s="4" t="s">
        <x:v>268</x:v>
      </x:c>
    </x:row>
    <x:row r="155" ht="28.5" customHeight="1">
      <x:c r="A155" s="4" t="s">
        <x:v>432</x:v>
      </x:c>
      <x:c r="B155" s="4" t="s">
        <x:v>269</x:v>
      </x:c>
      <x:c r="C155" s="4">
        <x:v>1</x:v>
      </x:c>
      <x:c r="D155" s="4" t="s">
        <x:v>270</x:v>
      </x:c>
      <x:c r="E155" s="4" t="s">
        <x:v>15</x:v>
      </x:c>
      <x:c r="F155" s="4" t="s">
        <x:v>32</x:v>
      </x:c>
      <x:c r="G155" s="4" t="s">
        <x:v>266</x:v>
      </x:c>
      <x:c r="H155" s="4" t="s">
        <x:v>272</x:v>
      </x:c>
      <x:c r="I155" s="4" t="s">
        <x:v>249</x:v>
      </x:c>
      <x:c r="J155" s="4" t="s">
        <x:v>273</x:v>
      </x:c>
    </x:row>
    <x:row r="156" ht="28.5" customHeight="1">
      <x:c r="A156" s="4" t="s">
        <x:v>433</x:v>
      </x:c>
      <x:c r="B156" s="4" t="s">
        <x:v>269</x:v>
      </x:c>
      <x:c r="C156" s="4">
        <x:v>2</x:v>
      </x:c>
      <x:c r="D156" s="4" t="s">
        <x:v>270</x:v>
      </x:c>
      <x:c r="E156" s="4" t="s">
        <x:v>15</x:v>
      </x:c>
      <x:c r="F156" s="4" t="s">
        <x:v>32</x:v>
      </x:c>
      <x:c r="G156" s="4" t="s">
        <x:v>266</x:v>
      </x:c>
      <x:c r="H156" s="4" t="s">
        <x:v>272</x:v>
      </x:c>
      <x:c r="I156" s="4" t="s">
        <x:v>249</x:v>
      </x:c>
      <x:c r="J156" s="4" t="s">
        <x:v>273</x:v>
      </x:c>
    </x:row>
    <x:row r="157" ht="28.5" customHeight="1">
      <x:c r="A157" s="4" t="s">
        <x:v>434</x:v>
      </x:c>
      <x:c r="B157" s="4" t="s">
        <x:v>269</x:v>
      </x:c>
      <x:c r="C157" s="4">
        <x:v>3</x:v>
      </x:c>
      <x:c r="D157" s="4" t="s">
        <x:v>270</x:v>
      </x:c>
      <x:c r="E157" s="4" t="s">
        <x:v>15</x:v>
      </x:c>
      <x:c r="F157" s="4" t="s">
        <x:v>32</x:v>
      </x:c>
      <x:c r="G157" s="4" t="s">
        <x:v>266</x:v>
      </x:c>
      <x:c r="H157" s="4" t="s">
        <x:v>272</x:v>
      </x:c>
      <x:c r="I157" s="4" t="s">
        <x:v>249</x:v>
      </x:c>
      <x:c r="J157" s="4" t="s">
        <x:v>273</x:v>
      </x:c>
    </x:row>
    <x:row r="158" ht="28.5" customHeight="1">
      <x:c r="A158" s="4" t="s">
        <x:v>435</x:v>
      </x:c>
      <x:c r="B158" s="4" t="s">
        <x:v>269</x:v>
      </x:c>
      <x:c r="C158" s="4">
        <x:v>4</x:v>
      </x:c>
      <x:c r="D158" s="4" t="s">
        <x:v>270</x:v>
      </x:c>
      <x:c r="E158" s="4" t="s">
        <x:v>15</x:v>
      </x:c>
      <x:c r="F158" s="4" t="s">
        <x:v>32</x:v>
      </x:c>
      <x:c r="G158" s="4" t="s">
        <x:v>266</x:v>
      </x:c>
      <x:c r="H158" s="4" t="s">
        <x:v>272</x:v>
      </x:c>
      <x:c r="I158" s="4" t="s">
        <x:v>249</x:v>
      </x:c>
      <x:c r="J158" s="4" t="s">
        <x:v>273</x:v>
      </x:c>
    </x:row>
    <x:row r="159" ht="28.5" customHeight="1">
      <x:c r="A159" s="4" t="s">
        <x:v>436</x:v>
      </x:c>
      <x:c r="B159" s="4" t="s">
        <x:v>274</x:v>
      </x:c>
      <x:c r="C159" s="4">
        <x:v>1</x:v>
      </x:c>
      <x:c r="D159" s="4" t="s">
        <x:v>275</x:v>
      </x:c>
      <x:c r="E159" s="4" t="s">
        <x:v>15</x:v>
      </x:c>
      <x:c r="F159" s="4" t="s">
        <x:v>32</x:v>
      </x:c>
      <x:c r="G159" s="4" t="s">
        <x:v>277</x:v>
      </x:c>
      <x:c r="H159" s="4" t="s">
        <x:v>278</x:v>
      </x:c>
      <x:c r="I159" s="4" t="s">
        <x:v>249</x:v>
      </x:c>
      <x:c r="J159" s="4" t="s">
        <x:v>279</x:v>
      </x:c>
    </x:row>
    <x:row r="160" ht="28.5" customHeight="1">
      <x:c r="A160" s="4" t="s">
        <x:v>437</x:v>
      </x:c>
      <x:c r="B160" s="4" t="s">
        <x:v>274</x:v>
      </x:c>
      <x:c r="C160" s="4">
        <x:v>2</x:v>
      </x:c>
      <x:c r="D160" s="4" t="s">
        <x:v>275</x:v>
      </x:c>
      <x:c r="E160" s="4" t="s">
        <x:v>15</x:v>
      </x:c>
      <x:c r="F160" s="4" t="s">
        <x:v>32</x:v>
      </x:c>
      <x:c r="G160" s="4" t="s">
        <x:v>277</x:v>
      </x:c>
      <x:c r="H160" s="4" t="s">
        <x:v>278</x:v>
      </x:c>
      <x:c r="I160" s="4" t="s">
        <x:v>249</x:v>
      </x:c>
      <x:c r="J160" s="4" t="s">
        <x:v>279</x:v>
      </x:c>
    </x:row>
    <x:row r="161" ht="28.5" customHeight="1">
      <x:c r="A161" s="4" t="s">
        <x:v>438</x:v>
      </x:c>
      <x:c r="B161" s="4" t="s">
        <x:v>280</x:v>
      </x:c>
      <x:c r="C161" s="4">
        <x:v>1</x:v>
      </x:c>
      <x:c r="D161" s="4" t="s">
        <x:v>281</x:v>
      </x:c>
      <x:c r="E161" s="4" t="s">
        <x:v>15</x:v>
      </x:c>
      <x:c r="F161" s="4" t="s">
        <x:v>32</x:v>
      </x:c>
      <x:c r="G161" s="4" t="s">
        <x:v>266</x:v>
      </x:c>
      <x:c r="H161" s="4" t="s">
        <x:v>283</x:v>
      </x:c>
      <x:c r="I161" s="4" t="s">
        <x:v>249</x:v>
      </x:c>
      <x:c r="J161" s="4" t="s">
        <x:v>284</x:v>
      </x:c>
    </x:row>
    <x:row r="162" ht="28.5" customHeight="1">
      <x:c r="A162" s="4" t="s">
        <x:v>439</x:v>
      </x:c>
      <x:c r="B162" s="4" t="s">
        <x:v>280</x:v>
      </x:c>
      <x:c r="C162" s="4">
        <x:v>2</x:v>
      </x:c>
      <x:c r="D162" s="4" t="s">
        <x:v>281</x:v>
      </x:c>
      <x:c r="E162" s="4" t="s">
        <x:v>15</x:v>
      </x:c>
      <x:c r="F162" s="4" t="s">
        <x:v>32</x:v>
      </x:c>
      <x:c r="G162" s="4" t="s">
        <x:v>266</x:v>
      </x:c>
      <x:c r="H162" s="4" t="s">
        <x:v>283</x:v>
      </x:c>
      <x:c r="I162" s="4" t="s">
        <x:v>249</x:v>
      </x:c>
      <x:c r="J162" s="4" t="s">
        <x:v>284</x:v>
      </x:c>
    </x:row>
    <x:row r="163" ht="28.5" customHeight="1">
      <x:c r="A163" s="4" t="s">
        <x:v>440</x:v>
      </x:c>
      <x:c r="B163" s="4" t="s">
        <x:v>280</x:v>
      </x:c>
      <x:c r="C163" s="4">
        <x:v>3</x:v>
      </x:c>
      <x:c r="D163" s="4" t="s">
        <x:v>281</x:v>
      </x:c>
      <x:c r="E163" s="4" t="s">
        <x:v>15</x:v>
      </x:c>
      <x:c r="F163" s="4" t="s">
        <x:v>32</x:v>
      </x:c>
      <x:c r="G163" s="4" t="s">
        <x:v>266</x:v>
      </x:c>
      <x:c r="H163" s="4" t="s">
        <x:v>283</x:v>
      </x:c>
      <x:c r="I163" s="4" t="s">
        <x:v>249</x:v>
      </x:c>
      <x:c r="J163" s="4" t="s">
        <x:v>284</x:v>
      </x:c>
    </x:row>
    <x:row r="164" ht="28.5" customHeight="1">
      <x:c r="A164" s="4" t="s">
        <x:v>441</x:v>
      </x:c>
      <x:c r="B164" s="4" t="s">
        <x:v>280</x:v>
      </x:c>
      <x:c r="C164" s="4">
        <x:v>4</x:v>
      </x:c>
      <x:c r="D164" s="4" t="s">
        <x:v>281</x:v>
      </x:c>
      <x:c r="E164" s="4" t="s">
        <x:v>15</x:v>
      </x:c>
      <x:c r="F164" s="4" t="s">
        <x:v>32</x:v>
      </x:c>
      <x:c r="G164" s="4" t="s">
        <x:v>266</x:v>
      </x:c>
      <x:c r="H164" s="4" t="s">
        <x:v>283</x:v>
      </x:c>
      <x:c r="I164" s="4" t="s">
        <x:v>249</x:v>
      </x:c>
      <x:c r="J164" s="4" t="s">
        <x:v>284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487a350c3de422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11" customWidth="1"/>
    <x:col min="2" max="2" width="27.5" customWidth="1"/>
    <x:col min="3" max="3" width="13.75" customWidth="1"/>
    <x:col min="4" max="4" width="10" customWidth="1"/>
    <x:col min="5" max="5" width="20" customWidth="1"/>
    <x:col min="6" max="6" width="15.633333206176758" customWidth="1"/>
    <x:col min="7" max="7" width="48.75" customWidth="1"/>
    <x:col min="8" max="8" width="32.5" customWidth="1"/>
    <x:col min="9" max="9" width="20.633333206176758" customWidth="1"/>
    <x:col min="10" max="20" width="11.5" customWidth="1"/>
  </x:cols>
  <x:sheetData>
    <x:row r="1" ht="31.5" customHeight="1">
      <x:c r="A1" s="1" t="s">
        <x:v>442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</x:row>
    <x:row r="2" ht="27" customHeight="1">
      <x:c r="A2" s="2" t="s">
        <x:v>443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4" ht="27" customHeight="1">
      <x:c r="A4" s="3" t="s">
        <x:v>444</x:v>
      </x:c>
      <x:c r="B4" s="3" t="s">
        <x:v>445</x:v>
      </x:c>
      <x:c r="C4" s="3" t="s">
        <x:v>446</x:v>
      </x:c>
      <x:c r="D4" s="3" t="s">
        <x:v>41</x:v>
      </x:c>
      <x:c r="E4" s="3" t="s">
        <x:v>42</x:v>
      </x:c>
      <x:c r="F4" s="3" t="s">
        <x:v>43</x:v>
      </x:c>
      <x:c r="G4" s="3" t="s">
        <x:v>45</x:v>
      </x:c>
      <x:c r="H4" s="3" t="s">
        <x:v>46</x:v>
      </x:c>
      <x:c r="I4" s="3" t="s">
        <x:v>47</x:v>
      </x:c>
      <x:c r="J4" s="3" t="s">
        <x:v>53</x:v>
      </x:c>
      <x:c r="K4" s="3" t="s">
        <x:v>54</x:v>
      </x:c>
      <x:c r="L4" s="3" t="s">
        <x:v>55</x:v>
      </x:c>
      <x:c r="M4" s="3" t="s">
        <x:v>56</x:v>
      </x:c>
      <x:c r="N4" s="3" t="s">
        <x:v>49</x:v>
      </x:c>
      <x:c r="O4" s="3" t="s">
        <x:v>50</x:v>
      </x:c>
      <x:c r="P4" s="3" t="s">
        <x:v>51</x:v>
      </x:c>
      <x:c r="Q4" s="3" t="s">
        <x:v>447</x:v>
      </x:c>
      <x:c r="R4" s="3" t="s">
        <x:v>448</x:v>
      </x:c>
      <x:c r="S4" s="3" t="s">
        <x:v>449</x:v>
      </x:c>
      <x:c r="T4" s="3" t="s">
        <x:v>450</x:v>
      </x:c>
    </x:row>
    <x:row r="5" ht="40.5" customHeight="1">
      <x:c r="A5" s="4" t="s">
        <x:v>451</x:v>
      </x:c>
      <x:c r="B5" s="4" t="s">
        <x:v>452</x:v>
      </x:c>
      <x:c r="C5" s="4" t="s">
        <x:v>453</x:v>
      </x:c>
      <x:c r="D5" s="15" t="s">
        <x:v>24</x:v>
      </x:c>
      <x:c r="E5" s="4" t="s">
        <x:v>454</x:v>
      </x:c>
      <x:c r="F5" s="4" t="s">
        <x:v>455</x:v>
      </x:c>
      <x:c r="G5" s="4" t="s">
        <x:v>456</x:v>
      </x:c>
      <x:c r="H5" s="4" t="s">
        <x:v>457</x:v>
      </x:c>
      <x:c r="I5" s="4" t="s">
        <x:v>458</x:v>
      </x:c>
      <x:c r="J5" s="16">
        <x:v>1</x:v>
      </x:c>
      <x:c r="K5" s="16">
        <x:v>1</x:v>
      </x:c>
      <x:c r="L5" s="16">
        <x:v>1</x:v>
      </x:c>
      <x:c r="M5" s="16">
        <x:v>1</x:v>
      </x:c>
      <x:c r="N5" s="16">
        <x:v>4</x:v>
      </x:c>
      <x:c r="O5" s="16">
        <x:v>1</x:v>
      </x:c>
      <x:c r="P5" s="16" t="n">
        <x:f t="shared" ref="P5:P24" si="0">N5*O5</x:f>
        <x:v>4</x:v>
      </x:c>
      <x:c r="Q5" s="16" t="n">
        <x:f t="shared" ref="Q5:Q24" si="1">J5*O5</x:f>
        <x:v>1</x:v>
      </x:c>
      <x:c r="R5" s="16" t="n">
        <x:f t="shared" ref="R5:R24" si="2">K5*O5</x:f>
        <x:v>1</x:v>
      </x:c>
      <x:c r="S5" s="16" t="n">
        <x:f t="shared" ref="S5:S24" si="3">L5*O5</x:f>
        <x:v>1</x:v>
      </x:c>
      <x:c r="T5" s="16" t="n">
        <x:f t="shared" ref="T5:T24" si="4">M5*O5</x:f>
        <x:v>1</x:v>
      </x:c>
    </x:row>
    <x:row r="6" ht="40.5" customHeight="1">
      <x:c r="A6" s="4" t="s">
        <x:v>459</x:v>
      </x:c>
      <x:c r="B6" s="4" t="s">
        <x:v>460</x:v>
      </x:c>
      <x:c r="C6" s="4" t="s">
        <x:v>453</x:v>
      </x:c>
      <x:c r="D6" s="15" t="s">
        <x:v>24</x:v>
      </x:c>
      <x:c r="E6" s="4" t="s">
        <x:v>461</x:v>
      </x:c>
      <x:c r="F6" s="4" t="s">
        <x:v>455</x:v>
      </x:c>
      <x:c r="G6" s="4" t="s">
        <x:v>462</x:v>
      </x:c>
      <x:c r="H6" s="4" t="s">
        <x:v>457</x:v>
      </x:c>
      <x:c r="I6" s="4" t="s">
        <x:v>458</x:v>
      </x:c>
      <x:c r="J6" s="16">
        <x:v>-1</x:v>
      </x:c>
      <x:c r="K6" s="16">
        <x:v>-1</x:v>
      </x:c>
      <x:c r="L6" s="16">
        <x:v>-1</x:v>
      </x:c>
      <x:c r="M6" s="16">
        <x:v>-1</x:v>
      </x:c>
      <x:c r="N6" s="16">
        <x:v>4</x:v>
      </x:c>
      <x:c r="O6" s="16">
        <x:v>1</x:v>
      </x:c>
      <x:c r="P6" s="16">
        <x:f t="shared" si="0"/>
        <x:v>4</x:v>
      </x:c>
      <x:c r="Q6" s="16">
        <x:f t="shared" si="1"/>
        <x:v>-1</x:v>
      </x:c>
      <x:c r="R6" s="16">
        <x:f t="shared" si="2"/>
        <x:v>-1</x:v>
      </x:c>
      <x:c r="S6" s="16">
        <x:f t="shared" si="3"/>
        <x:v>-1</x:v>
      </x:c>
      <x:c r="T6" s="16">
        <x:f t="shared" si="4"/>
        <x:v>-1</x:v>
      </x:c>
    </x:row>
    <x:row r="7" ht="40.5" customHeight="1">
      <x:c r="A7" s="4" t="s">
        <x:v>463</x:v>
      </x:c>
      <x:c r="B7" s="4" t="s">
        <x:v>464</x:v>
      </x:c>
      <x:c r="C7" s="4" t="s">
        <x:v>453</x:v>
      </x:c>
      <x:c r="D7" s="17" t="s">
        <x:v>26</x:v>
      </x:c>
      <x:c r="E7" s="4" t="s">
        <x:v>465</x:v>
      </x:c>
      <x:c r="F7" s="4" t="s">
        <x:v>64</x:v>
      </x:c>
      <x:c r="G7" s="4" t="s">
        <x:v>466</x:v>
      </x:c>
      <x:c r="H7" s="4" t="s">
        <x:v>457</x:v>
      </x:c>
      <x:c r="I7" s="4" t="s">
        <x:v>467</x:v>
      </x:c>
      <x:c r="J7" s="16">
        <x:v>3</x:v>
      </x:c>
      <x:c r="K7" s="16">
        <x:v>0</x:v>
      </x:c>
      <x:c r="L7" s="16">
        <x:v>0</x:v>
      </x:c>
      <x:c r="M7" s="16">
        <x:v>0</x:v>
      </x:c>
      <x:c r="N7" s="16">
        <x:v>3</x:v>
      </x:c>
      <x:c r="O7" s="16">
        <x:v>1</x:v>
      </x:c>
      <x:c r="P7" s="16">
        <x:f t="shared" si="0"/>
        <x:v>3</x:v>
      </x:c>
      <x:c r="Q7" s="16">
        <x:f t="shared" si="1"/>
        <x:v>3</x:v>
      </x:c>
      <x:c r="R7" s="16">
        <x:f t="shared" si="2"/>
        <x:v>0</x:v>
      </x:c>
      <x:c r="S7" s="16">
        <x:f t="shared" si="3"/>
        <x:v>0</x:v>
      </x:c>
      <x:c r="T7" s="16">
        <x:f t="shared" si="4"/>
        <x:v>0</x:v>
      </x:c>
    </x:row>
    <x:row r="8" ht="40.5" customHeight="1">
      <x:c r="A8" s="4" t="s">
        <x:v>468</x:v>
      </x:c>
      <x:c r="B8" s="4" t="s">
        <x:v>469</x:v>
      </x:c>
      <x:c r="C8" s="4" t="s">
        <x:v>453</x:v>
      </x:c>
      <x:c r="D8" s="17" t="s">
        <x:v>26</x:v>
      </x:c>
      <x:c r="E8" s="4" t="s">
        <x:v>470</x:v>
      </x:c>
      <x:c r="F8" s="4" t="s">
        <x:v>64</x:v>
      </x:c>
      <x:c r="G8" s="4" t="s">
        <x:v>471</x:v>
      </x:c>
      <x:c r="H8" s="4" t="s">
        <x:v>457</x:v>
      </x:c>
      <x:c r="I8" s="4" t="s">
        <x:v>467</x:v>
      </x:c>
      <x:c r="J8" s="16">
        <x:v>-3</x:v>
      </x:c>
      <x:c r="K8" s="16">
        <x:v>0</x:v>
      </x:c>
      <x:c r="L8" s="16">
        <x:v>0</x:v>
      </x:c>
      <x:c r="M8" s="16">
        <x:v>0</x:v>
      </x:c>
      <x:c r="N8" s="16">
        <x:v>3</x:v>
      </x:c>
      <x:c r="O8" s="16">
        <x:v>1</x:v>
      </x:c>
      <x:c r="P8" s="16">
        <x:f t="shared" si="0"/>
        <x:v>3</x:v>
      </x:c>
      <x:c r="Q8" s="16">
        <x:f t="shared" si="1"/>
        <x:v>-3</x:v>
      </x:c>
      <x:c r="R8" s="16">
        <x:f t="shared" si="2"/>
        <x:v>0</x:v>
      </x:c>
      <x:c r="S8" s="16">
        <x:f t="shared" si="3"/>
        <x:v>0</x:v>
      </x:c>
      <x:c r="T8" s="16">
        <x:f t="shared" si="4"/>
        <x:v>0</x:v>
      </x:c>
    </x:row>
    <x:row r="9" ht="40.5" customHeight="1">
      <x:c r="A9" s="4" t="s">
        <x:v>472</x:v>
      </x:c>
      <x:c r="B9" s="4" t="s">
        <x:v>473</x:v>
      </x:c>
      <x:c r="C9" s="4" t="s">
        <x:v>453</x:v>
      </x:c>
      <x:c r="D9" s="17" t="s">
        <x:v>26</x:v>
      </x:c>
      <x:c r="E9" s="4" t="s">
        <x:v>465</x:v>
      </x:c>
      <x:c r="F9" s="4" t="s">
        <x:v>102</x:v>
      </x:c>
      <x:c r="G9" s="4" t="s">
        <x:v>474</x:v>
      </x:c>
      <x:c r="H9" s="4" t="s">
        <x:v>457</x:v>
      </x:c>
      <x:c r="I9" s="4" t="s">
        <x:v>467</x:v>
      </x:c>
      <x:c r="J9" s="16">
        <x:v>0</x:v>
      </x:c>
      <x:c r="K9" s="16">
        <x:v>3</x:v>
      </x:c>
      <x:c r="L9" s="16">
        <x:v>0</x:v>
      </x:c>
      <x:c r="M9" s="16">
        <x:v>0</x:v>
      </x:c>
      <x:c r="N9" s="16">
        <x:v>3</x:v>
      </x:c>
      <x:c r="O9" s="16">
        <x:v>1</x:v>
      </x:c>
      <x:c r="P9" s="16">
        <x:f t="shared" si="0"/>
        <x:v>3</x:v>
      </x:c>
      <x:c r="Q9" s="16">
        <x:f t="shared" si="1"/>
        <x:v>0</x:v>
      </x:c>
      <x:c r="R9" s="16">
        <x:f t="shared" si="2"/>
        <x:v>3</x:v>
      </x:c>
      <x:c r="S9" s="16">
        <x:f t="shared" si="3"/>
        <x:v>0</x:v>
      </x:c>
      <x:c r="T9" s="16">
        <x:f t="shared" si="4"/>
        <x:v>0</x:v>
      </x:c>
    </x:row>
    <x:row r="10" ht="40.5" customHeight="1">
      <x:c r="A10" s="4" t="s">
        <x:v>475</x:v>
      </x:c>
      <x:c r="B10" s="4" t="s">
        <x:v>476</x:v>
      </x:c>
      <x:c r="C10" s="4" t="s">
        <x:v>453</x:v>
      </x:c>
      <x:c r="D10" s="17" t="s">
        <x:v>26</x:v>
      </x:c>
      <x:c r="E10" s="4" t="s">
        <x:v>470</x:v>
      </x:c>
      <x:c r="F10" s="4" t="s">
        <x:v>102</x:v>
      </x:c>
      <x:c r="G10" s="4" t="s">
        <x:v>477</x:v>
      </x:c>
      <x:c r="H10" s="4" t="s">
        <x:v>457</x:v>
      </x:c>
      <x:c r="I10" s="4" t="s">
        <x:v>467</x:v>
      </x:c>
      <x:c r="J10" s="16">
        <x:v>0</x:v>
      </x:c>
      <x:c r="K10" s="16">
        <x:v>-3</x:v>
      </x:c>
      <x:c r="L10" s="16">
        <x:v>0</x:v>
      </x:c>
      <x:c r="M10" s="16">
        <x:v>0</x:v>
      </x:c>
      <x:c r="N10" s="16">
        <x:v>3</x:v>
      </x:c>
      <x:c r="O10" s="16">
        <x:v>1</x:v>
      </x:c>
      <x:c r="P10" s="16">
        <x:f t="shared" si="0"/>
        <x:v>3</x:v>
      </x:c>
      <x:c r="Q10" s="16">
        <x:f t="shared" si="1"/>
        <x:v>0</x:v>
      </x:c>
      <x:c r="R10" s="16">
        <x:f t="shared" si="2"/>
        <x:v>-3</x:v>
      </x:c>
      <x:c r="S10" s="16">
        <x:f t="shared" si="3"/>
        <x:v>0</x:v>
      </x:c>
      <x:c r="T10" s="16">
        <x:f t="shared" si="4"/>
        <x:v>0</x:v>
      </x:c>
    </x:row>
    <x:row r="11" ht="40.5" customHeight="1">
      <x:c r="A11" s="4" t="s">
        <x:v>478</x:v>
      </x:c>
      <x:c r="B11" s="4" t="s">
        <x:v>479</x:v>
      </x:c>
      <x:c r="C11" s="4" t="s">
        <x:v>453</x:v>
      </x:c>
      <x:c r="D11" s="15" t="s">
        <x:v>24</x:v>
      </x:c>
      <x:c r="E11" s="4" t="s">
        <x:v>465</x:v>
      </x:c>
      <x:c r="F11" s="4" t="s">
        <x:v>129</x:v>
      </x:c>
      <x:c r="G11" s="4" t="s">
        <x:v>480</x:v>
      </x:c>
      <x:c r="H11" s="4" t="s">
        <x:v>457</x:v>
      </x:c>
      <x:c r="I11" s="4" t="s">
        <x:v>458</x:v>
      </x:c>
      <x:c r="J11" s="16">
        <x:v>0</x:v>
      </x:c>
      <x:c r="K11" s="16">
        <x:v>0</x:v>
      </x:c>
      <x:c r="L11" s="16">
        <x:v>2</x:v>
      </x:c>
      <x:c r="M11" s="16">
        <x:v>0</x:v>
      </x:c>
      <x:c r="N11" s="16">
        <x:v>2</x:v>
      </x:c>
      <x:c r="O11" s="16">
        <x:v>1</x:v>
      </x:c>
      <x:c r="P11" s="16">
        <x:f t="shared" si="0"/>
        <x:v>2</x:v>
      </x:c>
      <x:c r="Q11" s="16">
        <x:f t="shared" si="1"/>
        <x:v>0</x:v>
      </x:c>
      <x:c r="R11" s="16">
        <x:f t="shared" si="2"/>
        <x:v>0</x:v>
      </x:c>
      <x:c r="S11" s="16">
        <x:f t="shared" si="3"/>
        <x:v>2</x:v>
      </x:c>
      <x:c r="T11" s="16">
        <x:f t="shared" si="4"/>
        <x:v>0</x:v>
      </x:c>
    </x:row>
    <x:row r="12" ht="40.5" customHeight="1">
      <x:c r="A12" s="4" t="s">
        <x:v>481</x:v>
      </x:c>
      <x:c r="B12" s="4" t="s">
        <x:v>482</x:v>
      </x:c>
      <x:c r="C12" s="4" t="s">
        <x:v>453</x:v>
      </x:c>
      <x:c r="D12" s="15" t="s">
        <x:v>24</x:v>
      </x:c>
      <x:c r="E12" s="4" t="s">
        <x:v>470</x:v>
      </x:c>
      <x:c r="F12" s="4" t="s">
        <x:v>129</x:v>
      </x:c>
      <x:c r="G12" s="4" t="s">
        <x:v>483</x:v>
      </x:c>
      <x:c r="H12" s="4" t="s">
        <x:v>457</x:v>
      </x:c>
      <x:c r="I12" s="4" t="s">
        <x:v>458</x:v>
      </x:c>
      <x:c r="J12" s="16">
        <x:v>0</x:v>
      </x:c>
      <x:c r="K12" s="16">
        <x:v>0</x:v>
      </x:c>
      <x:c r="L12" s="16">
        <x:v>-2</x:v>
      </x:c>
      <x:c r="M12" s="16">
        <x:v>0</x:v>
      </x:c>
      <x:c r="N12" s="16">
        <x:v>2</x:v>
      </x:c>
      <x:c r="O12" s="16">
        <x:v>1</x:v>
      </x:c>
      <x:c r="P12" s="16">
        <x:f t="shared" si="0"/>
        <x:v>2</x:v>
      </x:c>
      <x:c r="Q12" s="16">
        <x:f t="shared" si="1"/>
        <x:v>0</x:v>
      </x:c>
      <x:c r="R12" s="16">
        <x:f t="shared" si="2"/>
        <x:v>0</x:v>
      </x:c>
      <x:c r="S12" s="16">
        <x:f t="shared" si="3"/>
        <x:v>-2</x:v>
      </x:c>
      <x:c r="T12" s="16">
        <x:f t="shared" si="4"/>
        <x:v>0</x:v>
      </x:c>
    </x:row>
    <x:row r="13" ht="40.5" customHeight="1">
      <x:c r="A13" s="4" t="s">
        <x:v>484</x:v>
      </x:c>
      <x:c r="B13" s="4" t="s">
        <x:v>485</x:v>
      </x:c>
      <x:c r="C13" s="4" t="s">
        <x:v>453</x:v>
      </x:c>
      <x:c r="D13" s="15" t="s">
        <x:v>24</x:v>
      </x:c>
      <x:c r="E13" s="4" t="s">
        <x:v>465</x:v>
      </x:c>
      <x:c r="F13" s="4" t="s">
        <x:v>156</x:v>
      </x:c>
      <x:c r="G13" s="4" t="s">
        <x:v>486</x:v>
      </x:c>
      <x:c r="H13" s="4" t="s">
        <x:v>457</x:v>
      </x:c>
      <x:c r="I13" s="4" t="s">
        <x:v>458</x:v>
      </x:c>
      <x:c r="J13" s="16">
        <x:v>0</x:v>
      </x:c>
      <x:c r="K13" s="16">
        <x:v>0</x:v>
      </x:c>
      <x:c r="L13" s="16">
        <x:v>0</x:v>
      </x:c>
      <x:c r="M13" s="16">
        <x:v>2</x:v>
      </x:c>
      <x:c r="N13" s="16">
        <x:v>2</x:v>
      </x:c>
      <x:c r="O13" s="16">
        <x:v>1</x:v>
      </x:c>
      <x:c r="P13" s="16">
        <x:f t="shared" si="0"/>
        <x:v>2</x:v>
      </x:c>
      <x:c r="Q13" s="16">
        <x:f t="shared" si="1"/>
        <x:v>0</x:v>
      </x:c>
      <x:c r="R13" s="16">
        <x:f t="shared" si="2"/>
        <x:v>0</x:v>
      </x:c>
      <x:c r="S13" s="16">
        <x:f t="shared" si="3"/>
        <x:v>0</x:v>
      </x:c>
      <x:c r="T13" s="16">
        <x:f t="shared" si="4"/>
        <x:v>2</x:v>
      </x:c>
    </x:row>
    <x:row r="14" ht="40.5" customHeight="1">
      <x:c r="A14" s="4" t="s">
        <x:v>487</x:v>
      </x:c>
      <x:c r="B14" s="4" t="s">
        <x:v>488</x:v>
      </x:c>
      <x:c r="C14" s="4" t="s">
        <x:v>453</x:v>
      </x:c>
      <x:c r="D14" s="15" t="s">
        <x:v>24</x:v>
      </x:c>
      <x:c r="E14" s="4" t="s">
        <x:v>470</x:v>
      </x:c>
      <x:c r="F14" s="4" t="s">
        <x:v>156</x:v>
      </x:c>
      <x:c r="G14" s="4" t="s">
        <x:v>489</x:v>
      </x:c>
      <x:c r="H14" s="4" t="s">
        <x:v>457</x:v>
      </x:c>
      <x:c r="I14" s="4" t="s">
        <x:v>458</x:v>
      </x:c>
      <x:c r="J14" s="16">
        <x:v>0</x:v>
      </x:c>
      <x:c r="K14" s="16">
        <x:v>0</x:v>
      </x:c>
      <x:c r="L14" s="16">
        <x:v>0</x:v>
      </x:c>
      <x:c r="M14" s="16">
        <x:v>-2</x:v>
      </x:c>
      <x:c r="N14" s="16">
        <x:v>2</x:v>
      </x:c>
      <x:c r="O14" s="16">
        <x:v>1</x:v>
      </x:c>
      <x:c r="P14" s="16">
        <x:f t="shared" si="0"/>
        <x:v>2</x:v>
      </x:c>
      <x:c r="Q14" s="16">
        <x:f t="shared" si="1"/>
        <x:v>0</x:v>
      </x:c>
      <x:c r="R14" s="16">
        <x:f t="shared" si="2"/>
        <x:v>0</x:v>
      </x:c>
      <x:c r="S14" s="16">
        <x:f t="shared" si="3"/>
        <x:v>0</x:v>
      </x:c>
      <x:c r="T14" s="16">
        <x:f t="shared" si="4"/>
        <x:v>-2</x:v>
      </x:c>
    </x:row>
    <x:row r="15" ht="40.5" customHeight="1">
      <x:c r="A15" s="4" t="s">
        <x:v>490</x:v>
      </x:c>
      <x:c r="B15" s="4" t="s">
        <x:v>491</x:v>
      </x:c>
      <x:c r="C15" s="4" t="s">
        <x:v>453</x:v>
      </x:c>
      <x:c r="D15" s="15" t="s">
        <x:v>24</x:v>
      </x:c>
      <x:c r="E15" s="4" t="s">
        <x:v>492</x:v>
      </x:c>
      <x:c r="F15" s="4" t="s">
        <x:v>493</x:v>
      </x:c>
      <x:c r="G15" s="4" t="s">
        <x:v>494</x:v>
      </x:c>
      <x:c r="H15" s="4" t="s">
        <x:v>457</x:v>
      </x:c>
      <x:c r="I15" s="4" t="s">
        <x:v>458</x:v>
      </x:c>
      <x:c r="J15" s="16">
        <x:v>0</x:v>
      </x:c>
      <x:c r="K15" s="16">
        <x:v>0</x:v>
      </x:c>
      <x:c r="L15" s="16">
        <x:v>1</x:v>
      </x:c>
      <x:c r="M15" s="16">
        <x:v>1</x:v>
      </x:c>
      <x:c r="N15" s="16">
        <x:v>2</x:v>
      </x:c>
      <x:c r="O15" s="16">
        <x:v>1</x:v>
      </x:c>
      <x:c r="P15" s="16">
        <x:f t="shared" si="0"/>
        <x:v>2</x:v>
      </x:c>
      <x:c r="Q15" s="16">
        <x:f t="shared" si="1"/>
        <x:v>0</x:v>
      </x:c>
      <x:c r="R15" s="16">
        <x:f t="shared" si="2"/>
        <x:v>0</x:v>
      </x:c>
      <x:c r="S15" s="16">
        <x:f t="shared" si="3"/>
        <x:v>1</x:v>
      </x:c>
      <x:c r="T15" s="16">
        <x:f t="shared" si="4"/>
        <x:v>1</x:v>
      </x:c>
    </x:row>
    <x:row r="16" ht="40.5" customHeight="1">
      <x:c r="A16" s="4" t="s">
        <x:v>495</x:v>
      </x:c>
      <x:c r="B16" s="4" t="s">
        <x:v>496</x:v>
      </x:c>
      <x:c r="C16" s="4" t="s">
        <x:v>453</x:v>
      </x:c>
      <x:c r="D16" s="15" t="s">
        <x:v>24</x:v>
      </x:c>
      <x:c r="E16" s="4" t="s">
        <x:v>497</x:v>
      </x:c>
      <x:c r="F16" s="4" t="s">
        <x:v>493</x:v>
      </x:c>
      <x:c r="G16" s="4" t="s">
        <x:v>498</x:v>
      </x:c>
      <x:c r="H16" s="4" t="s">
        <x:v>457</x:v>
      </x:c>
      <x:c r="I16" s="4" t="s">
        <x:v>458</x:v>
      </x:c>
      <x:c r="J16" s="16">
        <x:v>0</x:v>
      </x:c>
      <x:c r="K16" s="16">
        <x:v>0</x:v>
      </x:c>
      <x:c r="L16" s="16">
        <x:v>-1</x:v>
      </x:c>
      <x:c r="M16" s="16">
        <x:v>-1</x:v>
      </x:c>
      <x:c r="N16" s="16">
        <x:v>2</x:v>
      </x:c>
      <x:c r="O16" s="16">
        <x:v>1</x:v>
      </x:c>
      <x:c r="P16" s="16">
        <x:f t="shared" si="0"/>
        <x:v>2</x:v>
      </x:c>
      <x:c r="Q16" s="16">
        <x:f t="shared" si="1"/>
        <x:v>0</x:v>
      </x:c>
      <x:c r="R16" s="16">
        <x:f t="shared" si="2"/>
        <x:v>0</x:v>
      </x:c>
      <x:c r="S16" s="16">
        <x:f t="shared" si="3"/>
        <x:v>-1</x:v>
      </x:c>
      <x:c r="T16" s="16">
        <x:f t="shared" si="4"/>
        <x:v>-1</x:v>
      </x:c>
    </x:row>
    <x:row r="17" ht="40.5" customHeight="1">
      <x:c r="A17" s="4" t="s">
        <x:v>499</x:v>
      </x:c>
      <x:c r="B17" s="4" t="s">
        <x:v>500</x:v>
      </x:c>
      <x:c r="C17" s="4" t="s">
        <x:v>501</x:v>
      </x:c>
      <x:c r="D17" s="18" t="s">
        <x:v>28</x:v>
      </x:c>
      <x:c r="E17" s="4" t="s">
        <x:v>217</x:v>
      </x:c>
      <x:c r="F17" s="4" t="s">
        <x:v>502</x:v>
      </x:c>
      <x:c r="G17" s="4" t="s">
        <x:v>503</x:v>
      </x:c>
      <x:c r="H17" s="4" t="s">
        <x:v>504</x:v>
      </x:c>
      <x:c r="I17" s="4" t="s">
        <x:v>505</x:v>
      </x:c>
      <x:c r="J17" s="16">
        <x:v>0</x:v>
      </x:c>
      <x:c r="K17" s="16">
        <x:v>1</x:v>
      </x:c>
      <x:c r="L17" s="16">
        <x:v>0</x:v>
      </x:c>
      <x:c r="M17" s="16">
        <x:v>1</x:v>
      </x:c>
      <x:c r="N17" s="16">
        <x:v>2</x:v>
      </x:c>
      <x:c r="O17" s="16">
        <x:v>3</x:v>
      </x:c>
      <x:c r="P17" s="16">
        <x:f t="shared" si="0"/>
        <x:v>6</x:v>
      </x:c>
      <x:c r="Q17" s="16">
        <x:f t="shared" si="1"/>
        <x:v>0</x:v>
      </x:c>
      <x:c r="R17" s="16">
        <x:f t="shared" si="2"/>
        <x:v>3</x:v>
      </x:c>
      <x:c r="S17" s="16">
        <x:f t="shared" si="3"/>
        <x:v>0</x:v>
      </x:c>
      <x:c r="T17" s="16">
        <x:f t="shared" si="4"/>
        <x:v>3</x:v>
      </x:c>
    </x:row>
    <x:row r="18" ht="40.5" customHeight="1">
      <x:c r="A18" s="4" t="s">
        <x:v>506</x:v>
      </x:c>
      <x:c r="B18" s="4" t="s">
        <x:v>507</x:v>
      </x:c>
      <x:c r="C18" s="4" t="s">
        <x:v>501</x:v>
      </x:c>
      <x:c r="D18" s="18" t="s">
        <x:v>28</x:v>
      </x:c>
      <x:c r="E18" s="4" t="s">
        <x:v>223</x:v>
      </x:c>
      <x:c r="F18" s="4" t="s">
        <x:v>502</x:v>
      </x:c>
      <x:c r="G18" s="4" t="s">
        <x:v>508</x:v>
      </x:c>
      <x:c r="H18" s="4" t="s">
        <x:v>504</x:v>
      </x:c>
      <x:c r="I18" s="4" t="s">
        <x:v>509</x:v>
      </x:c>
      <x:c r="J18" s="16">
        <x:v>0</x:v>
      </x:c>
      <x:c r="K18" s="16">
        <x:v>-1</x:v>
      </x:c>
      <x:c r="L18" s="16">
        <x:v>0</x:v>
      </x:c>
      <x:c r="M18" s="16">
        <x:v>-1</x:v>
      </x:c>
      <x:c r="N18" s="16">
        <x:v>2</x:v>
      </x:c>
      <x:c r="O18" s="16">
        <x:v>3</x:v>
      </x:c>
      <x:c r="P18" s="16">
        <x:f t="shared" si="0"/>
        <x:v>6</x:v>
      </x:c>
      <x:c r="Q18" s="16">
        <x:f t="shared" si="1"/>
        <x:v>0</x:v>
      </x:c>
      <x:c r="R18" s="16">
        <x:f t="shared" si="2"/>
        <x:v>-3</x:v>
      </x:c>
      <x:c r="S18" s="16">
        <x:f t="shared" si="3"/>
        <x:v>0</x:v>
      </x:c>
      <x:c r="T18" s="16">
        <x:f t="shared" si="4"/>
        <x:v>-3</x:v>
      </x:c>
    </x:row>
    <x:row r="19" ht="40.5" customHeight="1">
      <x:c r="A19" s="4" t="s">
        <x:v>510</x:v>
      </x:c>
      <x:c r="B19" s="4" t="s">
        <x:v>511</x:v>
      </x:c>
      <x:c r="C19" s="4" t="s">
        <x:v>501</x:v>
      </x:c>
      <x:c r="D19" s="18" t="s">
        <x:v>28</x:v>
      </x:c>
      <x:c r="E19" s="4" t="s">
        <x:v>217</x:v>
      </x:c>
      <x:c r="F19" s="4" t="s">
        <x:v>512</x:v>
      </x:c>
      <x:c r="G19" s="4" t="s">
        <x:v>513</x:v>
      </x:c>
      <x:c r="H19" s="4" t="s">
        <x:v>504</x:v>
      </x:c>
      <x:c r="I19" s="4" t="s">
        <x:v>505</x:v>
      </x:c>
      <x:c r="J19" s="16">
        <x:v>1</x:v>
      </x:c>
      <x:c r="K19" s="16">
        <x:v>0</x:v>
      </x:c>
      <x:c r="L19" s="16">
        <x:v>1</x:v>
      </x:c>
      <x:c r="M19" s="16">
        <x:v>0</x:v>
      </x:c>
      <x:c r="N19" s="16">
        <x:v>2</x:v>
      </x:c>
      <x:c r="O19" s="16">
        <x:v>3</x:v>
      </x:c>
      <x:c r="P19" s="16">
        <x:f t="shared" si="0"/>
        <x:v>6</x:v>
      </x:c>
      <x:c r="Q19" s="16">
        <x:f t="shared" si="1"/>
        <x:v>3</x:v>
      </x:c>
      <x:c r="R19" s="16">
        <x:f t="shared" si="2"/>
        <x:v>0</x:v>
      </x:c>
      <x:c r="S19" s="16">
        <x:f t="shared" si="3"/>
        <x:v>3</x:v>
      </x:c>
      <x:c r="T19" s="16">
        <x:f t="shared" si="4"/>
        <x:v>0</x:v>
      </x:c>
    </x:row>
    <x:row r="20" ht="40.5" customHeight="1">
      <x:c r="A20" s="4" t="s">
        <x:v>514</x:v>
      </x:c>
      <x:c r="B20" s="4" t="s">
        <x:v>515</x:v>
      </x:c>
      <x:c r="C20" s="4" t="s">
        <x:v>501</x:v>
      </x:c>
      <x:c r="D20" s="18" t="s">
        <x:v>28</x:v>
      </x:c>
      <x:c r="E20" s="4" t="s">
        <x:v>223</x:v>
      </x:c>
      <x:c r="F20" s="4" t="s">
        <x:v>512</x:v>
      </x:c>
      <x:c r="G20" s="4" t="s">
        <x:v>516</x:v>
      </x:c>
      <x:c r="H20" s="4" t="s">
        <x:v>504</x:v>
      </x:c>
      <x:c r="I20" s="4" t="s">
        <x:v>509</x:v>
      </x:c>
      <x:c r="J20" s="16">
        <x:v>-1</x:v>
      </x:c>
      <x:c r="K20" s="16">
        <x:v>0</x:v>
      </x:c>
      <x:c r="L20" s="16">
        <x:v>-1</x:v>
      </x:c>
      <x:c r="M20" s="16">
        <x:v>0</x:v>
      </x:c>
      <x:c r="N20" s="16">
        <x:v>2</x:v>
      </x:c>
      <x:c r="O20" s="16">
        <x:v>3</x:v>
      </x:c>
      <x:c r="P20" s="16">
        <x:f t="shared" si="0"/>
        <x:v>6</x:v>
      </x:c>
      <x:c r="Q20" s="16">
        <x:f t="shared" si="1"/>
        <x:v>-3</x:v>
      </x:c>
      <x:c r="R20" s="16">
        <x:f t="shared" si="2"/>
        <x:v>0</x:v>
      </x:c>
      <x:c r="S20" s="16">
        <x:f t="shared" si="3"/>
        <x:v>-3</x:v>
      </x:c>
      <x:c r="T20" s="16">
        <x:f t="shared" si="4"/>
        <x:v>0</x:v>
      </x:c>
    </x:row>
    <x:row r="21" ht="40.5" customHeight="1">
      <x:c r="A21" s="4" t="s">
        <x:v>517</x:v>
      </x:c>
      <x:c r="B21" s="4" t="s">
        <x:v>518</x:v>
      </x:c>
      <x:c r="C21" s="4" t="s">
        <x:v>519</x:v>
      </x:c>
      <x:c r="D21" s="19" t="s">
        <x:v>30</x:v>
      </x:c>
      <x:c r="E21" s="4" t="s">
        <x:v>520</x:v>
      </x:c>
      <x:c r="F21" s="4" t="s">
        <x:v>521</x:v>
      </x:c>
      <x:c r="G21" s="4" t="s">
        <x:v>522</x:v>
      </x:c>
      <x:c r="H21" s="4" t="s">
        <x:v>523</x:v>
      </x:c>
      <x:c r="I21" s="4" t="s">
        <x:v>524</x:v>
      </x:c>
      <x:c r="J21" s="16">
        <x:v>0</x:v>
      </x:c>
      <x:c r="K21" s="16">
        <x:v>0</x:v>
      </x:c>
      <x:c r="L21" s="16">
        <x:v>0</x:v>
      </x:c>
      <x:c r="M21" s="16">
        <x:v>0</x:v>
      </x:c>
      <x:c r="N21" s="16">
        <x:v>0</x:v>
      </x:c>
      <x:c r="O21" s="16">
        <x:v>0</x:v>
      </x:c>
      <x:c r="P21" s="16">
        <x:f t="shared" si="0"/>
        <x:v>0</x:v>
      </x:c>
      <x:c r="Q21" s="16">
        <x:f t="shared" si="1"/>
        <x:v>0</x:v>
      </x:c>
      <x:c r="R21" s="16">
        <x:f t="shared" si="2"/>
        <x:v>0</x:v>
      </x:c>
      <x:c r="S21" s="16">
        <x:f t="shared" si="3"/>
        <x:v>0</x:v>
      </x:c>
      <x:c r="T21" s="16">
        <x:f t="shared" si="4"/>
        <x:v>0</x:v>
      </x:c>
    </x:row>
    <x:row r="22" ht="40.5" customHeight="1">
      <x:c r="A22" s="4" t="s">
        <x:v>525</x:v>
      </x:c>
      <x:c r="B22" s="4" t="s">
        <x:v>526</x:v>
      </x:c>
      <x:c r="C22" s="4" t="s">
        <x:v>519</x:v>
      </x:c>
      <x:c r="D22" s="19" t="s">
        <x:v>30</x:v>
      </x:c>
      <x:c r="E22" s="4" t="s">
        <x:v>527</x:v>
      </x:c>
      <x:c r="F22" s="4" t="s">
        <x:v>528</x:v>
      </x:c>
      <x:c r="G22" s="4" t="s">
        <x:v>529</x:v>
      </x:c>
      <x:c r="H22" s="4" t="s">
        <x:v>523</x:v>
      </x:c>
      <x:c r="I22" s="4" t="s">
        <x:v>524</x:v>
      </x:c>
      <x:c r="J22" s="16">
        <x:v>0</x:v>
      </x:c>
      <x:c r="K22" s="16">
        <x:v>0</x:v>
      </x:c>
      <x:c r="L22" s="16">
        <x:v>0</x:v>
      </x:c>
      <x:c r="M22" s="16">
        <x:v>0</x:v>
      </x:c>
      <x:c r="N22" s="16">
        <x:v>0</x:v>
      </x:c>
      <x:c r="O22" s="16">
        <x:v>0</x:v>
      </x:c>
      <x:c r="P22" s="16">
        <x:f t="shared" si="0"/>
        <x:v>0</x:v>
      </x:c>
      <x:c r="Q22" s="16">
        <x:f t="shared" si="1"/>
        <x:v>0</x:v>
      </x:c>
      <x:c r="R22" s="16">
        <x:f t="shared" si="2"/>
        <x:v>0</x:v>
      </x:c>
      <x:c r="S22" s="16">
        <x:f t="shared" si="3"/>
        <x:v>0</x:v>
      </x:c>
      <x:c r="T22" s="16">
        <x:f t="shared" si="4"/>
        <x:v>0</x:v>
      </x:c>
    </x:row>
    <x:row r="23" ht="40.5" customHeight="1">
      <x:c r="A23" s="4" t="s">
        <x:v>530</x:v>
      </x:c>
      <x:c r="B23" s="4" t="s">
        <x:v>531</x:v>
      </x:c>
      <x:c r="C23" s="4" t="s">
        <x:v>519</x:v>
      </x:c>
      <x:c r="D23" s="19" t="s">
        <x:v>30</x:v>
      </x:c>
      <x:c r="E23" s="4" t="s">
        <x:v>532</x:v>
      </x:c>
      <x:c r="F23" s="4" t="s">
        <x:v>533</x:v>
      </x:c>
      <x:c r="G23" s="4" t="s">
        <x:v>534</x:v>
      </x:c>
      <x:c r="H23" s="4" t="s">
        <x:v>523</x:v>
      </x:c>
      <x:c r="I23" s="4" t="s">
        <x:v>524</x:v>
      </x:c>
      <x:c r="J23" s="16">
        <x:v>0</x:v>
      </x:c>
      <x:c r="K23" s="16">
        <x:v>0</x:v>
      </x:c>
      <x:c r="L23" s="16">
        <x:v>0</x:v>
      </x:c>
      <x:c r="M23" s="16">
        <x:v>0</x:v>
      </x:c>
      <x:c r="N23" s="16">
        <x:v>0</x:v>
      </x:c>
      <x:c r="O23" s="16">
        <x:v>0</x:v>
      </x:c>
      <x:c r="P23" s="16">
        <x:f t="shared" si="0"/>
        <x:v>0</x:v>
      </x:c>
      <x:c r="Q23" s="16">
        <x:f t="shared" si="1"/>
        <x:v>0</x:v>
      </x:c>
      <x:c r="R23" s="16">
        <x:f t="shared" si="2"/>
        <x:v>0</x:v>
      </x:c>
      <x:c r="S23" s="16">
        <x:f t="shared" si="3"/>
        <x:v>0</x:v>
      </x:c>
      <x:c r="T23" s="16">
        <x:f t="shared" si="4"/>
        <x:v>0</x:v>
      </x:c>
    </x:row>
    <x:row r="24" ht="40.5" customHeight="1">
      <x:c r="A24" s="4" t="s">
        <x:v>535</x:v>
      </x:c>
      <x:c r="B24" s="4" t="s">
        <x:v>536</x:v>
      </x:c>
      <x:c r="C24" s="4" t="s">
        <x:v>519</x:v>
      </x:c>
      <x:c r="D24" s="20" t="s">
        <x:v>33</x:v>
      </x:c>
      <x:c r="E24" s="4" t="s">
        <x:v>34</x:v>
      </x:c>
      <x:c r="F24" s="4" t="s">
        <x:v>537</x:v>
      </x:c>
      <x:c r="G24" s="4" t="s">
        <x:v>538</x:v>
      </x:c>
      <x:c r="H24" s="4" t="s">
        <x:v>523</x:v>
      </x:c>
      <x:c r="I24" s="4" t="s">
        <x:v>539</x:v>
      </x:c>
      <x:c r="J24" s="16">
        <x:v>0</x:v>
      </x:c>
      <x:c r="K24" s="16">
        <x:v>0</x:v>
      </x:c>
      <x:c r="L24" s="16">
        <x:v>0</x:v>
      </x:c>
      <x:c r="M24" s="16">
        <x:v>0</x:v>
      </x:c>
      <x:c r="N24" s="16">
        <x:v>0</x:v>
      </x:c>
      <x:c r="O24" s="16">
        <x:v>0</x:v>
      </x:c>
      <x:c r="P24" s="16">
        <x:f t="shared" si="0"/>
        <x:v>0</x:v>
      </x:c>
      <x:c r="Q24" s="16">
        <x:f t="shared" si="1"/>
        <x:v>0</x:v>
      </x:c>
      <x:c r="R24" s="16">
        <x:f t="shared" si="2"/>
        <x:v>0</x:v>
      </x:c>
      <x:c r="S24" s="16">
        <x:f t="shared" si="3"/>
        <x:v>0</x:v>
      </x:c>
      <x:c r="T24" s="16">
        <x:f t="shared" si="4"/>
        <x:v>0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82a4a051dd1c4ea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.25"/>
  <x:cols>
    <x:col min="1" max="1" width="25.633333206176758" customWidth="1"/>
    <x:col min="2" max="5" width="16.883333206176758" customWidth="1"/>
    <x:col min="6" max="6" width="15" customWidth="1"/>
  </x:cols>
  <x:sheetData>
    <x:row r="1" ht="31.5" customHeight="1">
      <x:c r="A1" s="1" t="s">
        <x:v>540</x:v>
      </x:c>
      <x:c r="B1" s="1"/>
      <x:c r="C1" s="1"/>
      <x:c r="D1" s="1"/>
      <x:c r="E1" s="1"/>
      <x:c r="F1" s="1"/>
    </x:row>
    <x:row r="2" ht="27" customHeight="1">
      <x:c r="A2" s="2" t="s">
        <x:v>541</x:v>
      </x:c>
      <x:c r="B2" s="2"/>
      <x:c r="C2" s="2"/>
      <x:c r="D2" s="2"/>
      <x:c r="E2" s="2"/>
      <x:c r="F2" s="2"/>
    </x:row>
    <x:row r="4" ht="27" customHeight="1">
      <x:c r="A4" s="3" t="s">
        <x:v>542</x:v>
      </x:c>
      <x:c r="B4" s="3" t="s">
        <x:v>543</x:v>
      </x:c>
      <x:c r="C4" s="3" t="s">
        <x:v>544</x:v>
      </x:c>
      <x:c r="D4" s="3" t="s">
        <x:v>545</x:v>
      </x:c>
    </x:row>
    <x:row r="5" ht="21" customHeight="1">
      <x:c r="A5" s="4" t="s">
        <x:v>12</x:v>
      </x:c>
      <x:c r="B5" s="4" t="n">
        <x:f>COUNTA('个人牌设计'!$A$5:$A$71)</x:f>
        <x:v>67</x:v>
      </x:c>
      <x:c r="C5" s="4">
        <x:v>67</x:v>
      </x:c>
      <x:c r="D5" s="5" t="str">
        <x:f t="shared" ref="D5:D10" si="0">IF(B5=C5,"通过","检查")</x:f>
        <x:v>通过</x:v>
      </x:c>
    </x:row>
    <x:row r="6" ht="21" customHeight="1">
      <x:c r="A6" s="4" t="s">
        <x:v>14</x:v>
      </x:c>
      <x:c r="B6" s="4" t="n">
        <x:f>SUM('个人牌设计'!$K$5:$K$71)</x:f>
        <x:v>160</x:v>
      </x:c>
      <x:c r="C6" s="4">
        <x:v>160</x:v>
      </x:c>
      <x:c r="D6" s="5" t="str">
        <x:f t="shared" si="0"/>
        <x:v>通过</x:v>
      </x:c>
    </x:row>
    <x:row r="7" ht="21" customHeight="1">
      <x:c r="A7" s="4" t="s">
        <x:v>546</x:v>
      </x:c>
      <x:c r="B7" s="4" t="n">
        <x:f>COUNTA('个人牌印刷清单'!$A$5:$A$164)</x:f>
        <x:v>160</x:v>
      </x:c>
      <x:c r="C7" s="4">
        <x:v>160</x:v>
      </x:c>
      <x:c r="D7" s="5" t="str">
        <x:f t="shared" si="0"/>
        <x:v>通过</x:v>
      </x:c>
    </x:row>
    <x:row r="8" ht="21" customHeight="1">
      <x:c r="A8" s="4" t="s">
        <x:v>16</x:v>
      </x:c>
      <x:c r="B8" s="4" t="n">
        <x:f>COUNTA('公共事件牌'!$A$5:$A$24)</x:f>
        <x:v>20</x:v>
      </x:c>
      <x:c r="C8" s="4">
        <x:v>20</x:v>
      </x:c>
      <x:c r="D8" s="5" t="str">
        <x:f t="shared" si="0"/>
        <x:v>通过</x:v>
      </x:c>
    </x:row>
    <x:row r="9" ht="21" customHeight="1">
      <x:c r="A9" s="4" t="s">
        <x:v>547</x:v>
      </x:c>
      <x:c r="B9" s="4" t="n">
        <x:f>1</x:f>
        <x:v>1</x:v>
      </x:c>
      <x:c r="C9" s="4">
        <x:v>1</x:v>
      </x:c>
      <x:c r="D9" s="5" t="str">
        <x:f t="shared" si="0"/>
        <x:v>通过</x:v>
      </x:c>
    </x:row>
    <x:row r="10" ht="21" customHeight="1">
      <x:c r="A10" s="4" t="s">
        <x:v>548</x:v>
      </x:c>
      <x:c r="B10" s="4" t="n">
        <x:f>8*B9</x:f>
        <x:v>8</x:v>
      </x:c>
      <x:c r="C10" s="4">
        <x:v>8</x:v>
      </x:c>
      <x:c r="D10" s="5" t="str">
        <x:f t="shared" si="0"/>
        <x:v>通过</x:v>
      </x:c>
    </x:row>
    <x:row r="11" ht="21" customHeight="1"/>
    <x:row r="12" ht="21" customHeight="1">
      <x:c r="A12" s="3" t="s">
        <x:v>4</x:v>
      </x:c>
      <x:c r="B12" s="3" t="s">
        <x:v>19</x:v>
      </x:c>
      <x:c r="C12" s="3" t="s">
        <x:v>544</x:v>
      </x:c>
      <x:c r="D12" s="3" t="s">
        <x:v>545</x:v>
      </x:c>
    </x:row>
    <x:row r="13" ht="21" customHeight="1">
      <x:c r="A13" s="4" t="s">
        <x:v>9</x:v>
      </x:c>
      <x:c r="B13" s="4" t="n">
        <x:f>SUMIF('个人牌设计'!$C$5:$C$71,A13,'个人牌设计'!$K$5:$K$71)</x:f>
        <x:v>96</x:v>
      </x:c>
      <x:c r="C13" s="4">
        <x:v>96</x:v>
      </x:c>
      <x:c r="D13" s="5" t="str">
        <x:f>IF(B13=C13,"通过","检查")</x:f>
        <x:v>通过</x:v>
      </x:c>
    </x:row>
    <x:row r="14" ht="21" customHeight="1">
      <x:c r="A14" s="4" t="s">
        <x:v>11</x:v>
      </x:c>
      <x:c r="B14" s="4" t="n">
        <x:f>SUMIF('个人牌设计'!$C$5:$C$71,A14,'个人牌设计'!$K$5:$K$71)</x:f>
        <x:v>24</x:v>
      </x:c>
      <x:c r="C14" s="4">
        <x:v>24</x:v>
      </x:c>
      <x:c r="D14" s="5" t="str">
        <x:f>IF(B14=C14,"通过","检查")</x:f>
        <x:v>通过</x:v>
      </x:c>
    </x:row>
    <x:row r="15" ht="21" customHeight="1">
      <x:c r="A15" s="4" t="s">
        <x:v>13</x:v>
      </x:c>
      <x:c r="B15" s="4" t="n">
        <x:f>SUMIF('个人牌设计'!$C$5:$C$71,A15,'个人牌设计'!$K$5:$K$71)</x:f>
        <x:v>16</x:v>
      </x:c>
      <x:c r="C15" s="4">
        <x:v>16</x:v>
      </x:c>
      <x:c r="D15" s="5" t="str">
        <x:f>IF(B15=C15,"通过","检查")</x:f>
        <x:v>通过</x:v>
      </x:c>
    </x:row>
    <x:row r="16" ht="21" customHeight="1">
      <x:c r="A16" s="4" t="s">
        <x:v>15</x:v>
      </x:c>
      <x:c r="B16" s="4" t="n">
        <x:f>SUMIF('个人牌设计'!$C$5:$C$71,A16,'个人牌设计'!$K$5:$K$71)</x:f>
        <x:v>24</x:v>
      </x:c>
      <x:c r="C16" s="4">
        <x:v>24</x:v>
      </x:c>
      <x:c r="D16" s="5" t="str">
        <x:f>IF(B16=C16,"通过","检查")</x:f>
        <x:v>通过</x:v>
      </x:c>
    </x:row>
    <x:row r="17" ht="21" customHeight="1">
      <x:c r="A17" s="4" t="s">
        <x:v>17</x:v>
      </x:c>
      <x:c r="B17" s="4" t="n">
        <x:f>SUM(B13:B16)</x:f>
        <x:v>160</x:v>
      </x:c>
      <x:c r="C17" s="4">
        <x:v>160</x:v>
      </x:c>
      <x:c r="D17" s="5" t="str">
        <x:f>IF(B17=C17,"通过","检查")</x:f>
        <x:v>通过</x:v>
      </x:c>
    </x:row>
    <x:row r="18" ht="21" customHeight="1"/>
    <x:row r="19" ht="21" customHeight="1">
      <x:c r="A19" s="3" t="s">
        <x:v>18</x:v>
      </x:c>
      <x:c r="B19" s="3" t="s">
        <x:v>19</x:v>
      </x:c>
      <x:c r="C19" s="3" t="s">
        <x:v>544</x:v>
      </x:c>
      <x:c r="D19" s="3" t="s">
        <x:v>545</x:v>
      </x:c>
    </x:row>
    <x:row r="20" ht="21" customHeight="1">
      <x:c r="A20" s="4" t="s">
        <x:v>23</x:v>
      </x:c>
      <x:c r="B20" s="4" t="n">
        <x:f>SUMIF('个人牌设计'!$D$5:$D$71,A20,'个人牌设计'!$K$5:$K$71)</x:f>
        <x:v>88</x:v>
      </x:c>
      <x:c r="C20" s="4">
        <x:v>88</x:v>
      </x:c>
      <x:c r="D20" s="5" t="str">
        <x:f t="shared" ref="D20:D25" si="1">IF(B20=C20,"通过","检查")</x:f>
        <x:v>通过</x:v>
      </x:c>
    </x:row>
    <x:row r="21" ht="21" customHeight="1">
      <x:c r="A21" s="4" t="s">
        <x:v>24</x:v>
      </x:c>
      <x:c r="B21" s="4" t="n">
        <x:f>SUMIF('个人牌设计'!$D$5:$D$71,A21,'个人牌设计'!$K$5:$K$71)</x:f>
        <x:v>24</x:v>
      </x:c>
      <x:c r="C21" s="4">
        <x:v>24</x:v>
      </x:c>
      <x:c r="D21" s="5" t="str">
        <x:f t="shared" si="1"/>
        <x:v>通过</x:v>
      </x:c>
    </x:row>
    <x:row r="22" ht="21" customHeight="1">
      <x:c r="A22" s="4" t="s">
        <x:v>26</x:v>
      </x:c>
      <x:c r="B22" s="4" t="n">
        <x:f>SUMIF('个人牌设计'!$D$5:$D$71,A22,'个人牌设计'!$K$5:$K$71)</x:f>
        <x:v>8</x:v>
      </x:c>
      <x:c r="C22" s="4">
        <x:v>8</x:v>
      </x:c>
      <x:c r="D22" s="5" t="str">
        <x:f t="shared" si="1"/>
        <x:v>通过</x:v>
      </x:c>
    </x:row>
    <x:row r="23" ht="21" customHeight="1">
      <x:c r="A23" s="4" t="s">
        <x:v>28</x:v>
      </x:c>
      <x:c r="B23" s="4" t="n">
        <x:f>SUMIF('个人牌设计'!$D$5:$D$71,A23,'个人牌设计'!$K$5:$K$71)</x:f>
        <x:v>16</x:v>
      </x:c>
      <x:c r="C23" s="4">
        <x:v>16</x:v>
      </x:c>
      <x:c r="D23" s="5" t="str">
        <x:f t="shared" si="1"/>
        <x:v>通过</x:v>
      </x:c>
    </x:row>
    <x:row r="24" ht="21" customHeight="1">
      <x:c r="A24" s="4" t="s">
        <x:v>32</x:v>
      </x:c>
      <x:c r="B24" s="4" t="n">
        <x:f>SUMIF('个人牌设计'!$D$5:$D$71,A24,'个人牌设计'!$K$5:$K$71)</x:f>
        <x:v>24</x:v>
      </x:c>
      <x:c r="C24" s="4">
        <x:v>24</x:v>
      </x:c>
      <x:c r="D24" s="5" t="str">
        <x:f t="shared" si="1"/>
        <x:v>通过</x:v>
      </x:c>
    </x:row>
    <x:row r="25" ht="21" customHeight="1">
      <x:c r="A25" s="4" t="s">
        <x:v>17</x:v>
      </x:c>
      <x:c r="B25" s="4" t="n">
        <x:f>SUM(B20:B24)</x:f>
        <x:v>160</x:v>
      </x:c>
      <x:c r="C25" s="4">
        <x:v>160</x:v>
      </x:c>
      <x:c r="D25" s="5" t="str">
        <x:f t="shared" si="1"/>
        <x:v>通过</x:v>
      </x:c>
    </x:row>
    <x:row r="26" ht="21" customHeight="1"/>
    <x:row r="27" ht="21" customHeight="1">
      <x:c r="A27" s="3" t="s">
        <x:v>549</x:v>
      </x:c>
      <x:c r="B27" s="3" t="s">
        <x:v>550</x:v>
      </x:c>
      <x:c r="C27" s="3" t="s">
        <x:v>551</x:v>
      </x:c>
      <x:c r="D27" s="3" t="s">
        <x:v>552</x:v>
      </x:c>
      <x:c r="E27" s="3" t="s">
        <x:v>553</x:v>
      </x:c>
      <x:c r="F27" s="3" t="s">
        <x:v>545</x:v>
      </x:c>
    </x:row>
    <x:row r="28" ht="21" customHeight="1">
      <x:c r="A28" s="4" t="s">
        <x:v>64</x:v>
      </x:c>
      <x:c r="B28" s="4" t="n">
        <x:f>SUM('个人牌设计'!$K$5:$K$9)</x:f>
        <x:v>12</x:v>
      </x:c>
      <x:c r="C28" s="4" t="n">
        <x:f>SUM('个人牌设计'!$K$10:$K$14)</x:f>
        <x:v>12</x:v>
      </x:c>
      <x:c r="D28" s="4" t="n">
        <x:f>SUM('个人牌设计'!$U$5:$U$9)</x:f>
        <x:v>16</x:v>
      </x:c>
      <x:c r="E28" s="4" t="n">
        <x:f>-SUM('个人牌设计'!$U$10:$U$14)</x:f>
        <x:v>16</x:v>
      </x:c>
      <x:c r="F28" s="5" t="str">
        <x:f>IF(AND(B28=C28,D28=E28),"通过","检查")</x:f>
        <x:v>通过</x:v>
      </x:c>
    </x:row>
    <x:row r="29" ht="21" customHeight="1">
      <x:c r="A29" s="4" t="s">
        <x:v>102</x:v>
      </x:c>
      <x:c r="B29" s="4" t="n">
        <x:f>SUM('个人牌设计'!$K$15:$K$19)</x:f>
        <x:v>12</x:v>
      </x:c>
      <x:c r="C29" s="4" t="n">
        <x:f>SUM('个人牌设计'!$K$20:$K$24)</x:f>
        <x:v>12</x:v>
      </x:c>
      <x:c r="D29" s="4" t="n">
        <x:f>SUM('个人牌设计'!$V$15:$V$19)</x:f>
        <x:v>16</x:v>
      </x:c>
      <x:c r="E29" s="4" t="n">
        <x:f>-SUM('个人牌设计'!$V$20:$V$24)</x:f>
        <x:v>16</x:v>
      </x:c>
      <x:c r="F29" s="5" t="str">
        <x:f>IF(AND(B29=C29,D29=E29),"通过","检查")</x:f>
        <x:v>通过</x:v>
      </x:c>
    </x:row>
    <x:row r="30" ht="21" customHeight="1">
      <x:c r="A30" s="4" t="s">
        <x:v>129</x:v>
      </x:c>
      <x:c r="B30" s="4" t="n">
        <x:f>SUM('个人牌设计'!$K$25:$K$29)</x:f>
        <x:v>12</x:v>
      </x:c>
      <x:c r="C30" s="4" t="n">
        <x:f>SUM('个人牌设计'!$K$30:$K$34)</x:f>
        <x:v>12</x:v>
      </x:c>
      <x:c r="D30" s="4" t="n">
        <x:f>SUM('个人牌设计'!$W$25:$W$29)</x:f>
        <x:v>16</x:v>
      </x:c>
      <x:c r="E30" s="4" t="n">
        <x:f>-SUM('个人牌设计'!$W$30:$W$34)</x:f>
        <x:v>16</x:v>
      </x:c>
      <x:c r="F30" s="5" t="str">
        <x:f>IF(AND(B30=C30,D30=E30),"通过","检查")</x:f>
        <x:v>通过</x:v>
      </x:c>
    </x:row>
    <x:row r="31" ht="21" customHeight="1">
      <x:c r="A31" s="4" t="s">
        <x:v>156</x:v>
      </x:c>
      <x:c r="B31" s="4" t="n">
        <x:f>SUM('个人牌设计'!$K$35:$K$39)</x:f>
        <x:v>12</x:v>
      </x:c>
      <x:c r="C31" s="4" t="n">
        <x:f>SUM('个人牌设计'!$K$40:$K$44)</x:f>
        <x:v>12</x:v>
      </x:c>
      <x:c r="D31" s="4" t="n">
        <x:f>SUM('个人牌设计'!$X$35:$X$39)</x:f>
        <x:v>16</x:v>
      </x:c>
      <x:c r="E31" s="4" t="n">
        <x:f>-SUM('个人牌设计'!$X$40:$X$44)</x:f>
        <x:v>16</x:v>
      </x:c>
      <x:c r="F31" s="5" t="str">
        <x:f>IF(AND(B31=C31,D31=E31),"通过","检查")</x:f>
        <x:v>通过</x:v>
      </x:c>
    </x:row>
    <x:row r="32" ht="21" customHeight="1"/>
    <x:row r="33" ht="21" customHeight="1">
      <x:c r="A33" s="3" t="s">
        <x:v>554</x:v>
      </x:c>
      <x:c r="B33" s="3" t="s">
        <x:v>555</x:v>
      </x:c>
      <x:c r="C33" s="3" t="s">
        <x:v>556</x:v>
      </x:c>
      <x:c r="D33" s="3" t="s">
        <x:v>557</x:v>
      </x:c>
      <x:c r="E33" s="3" t="s">
        <x:v>558</x:v>
      </x:c>
      <x:c r="F33" s="3" t="s">
        <x:v>545</x:v>
      </x:c>
    </x:row>
    <x:row r="34" ht="21" customHeight="1">
      <x:c r="A34" s="4" t="s">
        <x:v>64</x:v>
      </x:c>
      <x:c r="B34" s="4" t="n">
        <x:f>'个人牌设计'!$U$57</x:f>
        <x:v>4</x:v>
      </x:c>
      <x:c r="C34" s="4" t="n">
        <x:f>-'个人牌设计'!$U$58</x:f>
        <x:v>4</x:v>
      </x:c>
      <x:c r="D34" s="4" t="n">
        <x:f>'公共事件牌'!$Q$19</x:f>
        <x:v>3</x:v>
      </x:c>
      <x:c r="E34" s="4" t="n">
        <x:f>-'公共事件牌'!$Q$20</x:f>
        <x:v>3</x:v>
      </x:c>
      <x:c r="F34" s="5" t="str">
        <x:f>IF(AND(B34=C34,D34=E34),"通过","检查")</x:f>
        <x:v>通过</x:v>
      </x:c>
    </x:row>
    <x:row r="35" ht="21" customHeight="1">
      <x:c r="A35" s="4" t="s">
        <x:v>102</x:v>
      </x:c>
      <x:c r="B35" s="4" t="n">
        <x:f>'个人牌设计'!$V$59</x:f>
        <x:v>4</x:v>
      </x:c>
      <x:c r="C35" s="4" t="n">
        <x:f>-'个人牌设计'!$V$60</x:f>
        <x:v>4</x:v>
      </x:c>
      <x:c r="D35" s="4" t="n">
        <x:f>'公共事件牌'!$R$17</x:f>
        <x:v>3</x:v>
      </x:c>
      <x:c r="E35" s="4" t="n">
        <x:f>-'公共事件牌'!$R$18</x:f>
        <x:v>3</x:v>
      </x:c>
      <x:c r="F35" s="5" t="str">
        <x:f>IF(AND(B35=C35,D35=E35),"通过","检查")</x:f>
        <x:v>通过</x:v>
      </x:c>
    </x:row>
    <x:row r="36" ht="21" customHeight="1">
      <x:c r="A36" s="4" t="s">
        <x:v>129</x:v>
      </x:c>
      <x:c r="B36" s="4" t="n">
        <x:f>'个人牌设计'!$W$61</x:f>
        <x:v>4</x:v>
      </x:c>
      <x:c r="C36" s="4" t="n">
        <x:f>-'个人牌设计'!$W$62</x:f>
        <x:v>4</x:v>
      </x:c>
      <x:c r="D36" s="4" t="n">
        <x:f>'公共事件牌'!$S$19</x:f>
        <x:v>3</x:v>
      </x:c>
      <x:c r="E36" s="4" t="n">
        <x:f>-'公共事件牌'!$S$20</x:f>
        <x:v>3</x:v>
      </x:c>
      <x:c r="F36" s="5" t="str">
        <x:f>IF(AND(B36=C36,D36=E36),"通过","检查")</x:f>
        <x:v>通过</x:v>
      </x:c>
    </x:row>
    <x:row r="37" ht="21" customHeight="1">
      <x:c r="A37" s="4" t="s">
        <x:v>156</x:v>
      </x:c>
      <x:c r="B37" s="4" t="n">
        <x:f>'个人牌设计'!$X$63</x:f>
        <x:v>4</x:v>
      </x:c>
      <x:c r="C37" s="4" t="n">
        <x:f>-'个人牌设计'!$X$64</x:f>
        <x:v>4</x:v>
      </x:c>
      <x:c r="D37" s="4" t="n">
        <x:f>'公共事件牌'!$T$17</x:f>
        <x:v>3</x:v>
      </x:c>
      <x:c r="E37" s="4" t="n">
        <x:f>-'公共事件牌'!$T$18</x:f>
        <x:v>3</x:v>
      </x:c>
      <x:c r="F37" s="5" t="str">
        <x:f>IF(AND(B37=C37,D37=E37),"通过","检查")</x:f>
        <x:v>通过</x:v>
      </x:c>
    </x:row>
    <x:row r="38" ht="21" customHeight="1"/>
    <x:row r="39" ht="21" customHeight="1">
      <x:c r="A39" s="3" t="s">
        <x:v>559</x:v>
      </x:c>
      <x:c r="B39" s="3" t="s">
        <x:v>560</x:v>
      </x:c>
      <x:c r="C39" s="3" t="s">
        <x:v>561</x:v>
      </x:c>
      <x:c r="D39" s="3" t="s">
        <x:v>562</x:v>
      </x:c>
      <x:c r="E39" s="3" t="s">
        <x:v>288</x:v>
      </x:c>
      <x:c r="F39" s="3" t="s">
        <x:v>545</x:v>
      </x:c>
    </x:row>
    <x:row r="40" ht="21" customHeight="1">
      <x:c r="A40" s="4" t="s">
        <x:v>64</x:v>
      </x:c>
      <x:c r="B40" s="4" t="n">
        <x:f>'公共事件牌'!$Q$5+'公共事件牌'!$Q$7</x:f>
        <x:v>4</x:v>
      </x:c>
      <x:c r="C40" s="4" t="n">
        <x:f>-('公共事件牌'!$Q$6+'公共事件牌'!$Q$8)</x:f>
        <x:v>4</x:v>
      </x:c>
      <x:c r="D40" s="4" t="n">
        <x:f>B40-C40</x:f>
        <x:v>0</x:v>
      </x:c>
      <x:c r="E40" s="4" t="n">
        <x:f>0</x:f>
        <x:v>0</x:v>
      </x:c>
      <x:c r="F40" s="5" t="str">
        <x:f>IF(D40=E40,"通过","检查")</x:f>
        <x:v>通过</x:v>
      </x:c>
    </x:row>
    <x:row r="41" ht="21" customHeight="1">
      <x:c r="A41" s="4" t="s">
        <x:v>102</x:v>
      </x:c>
      <x:c r="B41" s="4" t="n">
        <x:f>'公共事件牌'!$R$5+'公共事件牌'!$R$9</x:f>
        <x:v>4</x:v>
      </x:c>
      <x:c r="C41" s="4" t="n">
        <x:f>-('公共事件牌'!$R$6+'公共事件牌'!$R$10)</x:f>
        <x:v>4</x:v>
      </x:c>
      <x:c r="D41" s="4" t="n">
        <x:f>B41-C41</x:f>
        <x:v>0</x:v>
      </x:c>
      <x:c r="E41" s="4" t="n">
        <x:f>0</x:f>
        <x:v>0</x:v>
      </x:c>
      <x:c r="F41" s="5" t="str">
        <x:f>IF(D41=E41,"通过","检查")</x:f>
        <x:v>通过</x:v>
      </x:c>
    </x:row>
    <x:row r="42" ht="21" customHeight="1">
      <x:c r="A42" s="4" t="s">
        <x:v>129</x:v>
      </x:c>
      <x:c r="B42" s="4" t="n">
        <x:f>'公共事件牌'!$S$5+'公共事件牌'!$S$11+'公共事件牌'!$S$15</x:f>
        <x:v>4</x:v>
      </x:c>
      <x:c r="C42" s="4" t="n">
        <x:f>-('公共事件牌'!$S$6+'公共事件牌'!$S$12+'公共事件牌'!$S$16)</x:f>
        <x:v>4</x:v>
      </x:c>
      <x:c r="D42" s="4" t="n">
        <x:f>B42-C42</x:f>
        <x:v>0</x:v>
      </x:c>
      <x:c r="E42" s="4" t="n">
        <x:f>0</x:f>
        <x:v>0</x:v>
      </x:c>
      <x:c r="F42" s="5" t="str">
        <x:f>IF(D42=E42,"通过","检查")</x:f>
        <x:v>通过</x:v>
      </x:c>
    </x:row>
    <x:row r="43" ht="21" customHeight="1">
      <x:c r="A43" s="4" t="s">
        <x:v>156</x:v>
      </x:c>
      <x:c r="B43" s="4" t="n">
        <x:f>'公共事件牌'!$T$5+'公共事件牌'!$T$13+'公共事件牌'!$T$15</x:f>
        <x:v>4</x:v>
      </x:c>
      <x:c r="C43" s="4" t="n">
        <x:f>-('公共事件牌'!$T$6+'公共事件牌'!$T$14+'公共事件牌'!$T$16)</x:f>
        <x:v>4</x:v>
      </x:c>
      <x:c r="D43" s="4" t="n">
        <x:f>B43-C43</x:f>
        <x:v>0</x:v>
      </x:c>
      <x:c r="E43" s="4" t="n">
        <x:f>0</x:f>
        <x:v>0</x:v>
      </x:c>
      <x:c r="F43" s="5" t="str">
        <x:f>IF(D43=E43,"通过","检查")</x:f>
        <x:v>通过</x:v>
      </x:c>
    </x:row>
    <x:row r="45">
      <x:c r="A45" s="6" t="str">
        <x:v>解释：普通个人牌每张 1 格，强烈牌每张 2 格或双商品各 1 格，危机牌每张 3 格。区间修正牌共 8 张：低位扶升等效 +6 格，高位压降等效 -6 格，牌数与强度完全对称。</x:v>
      </x:c>
      <x:c r="B45" s="7"/>
      <x:c r="C45" s="7"/>
      <x:c r="D45" s="7"/>
      <x:c r="E45" s="7"/>
      <x:c r="F45" s="8"/>
    </x:row>
    <x:row r="46">
      <x:c r="A46" s="9"/>
      <x:c r="B46" s="10"/>
      <x:c r="C46" s="10"/>
      <x:c r="D46" s="10"/>
      <x:c r="E46" s="10"/>
      <x:c r="F46" s="11"/>
    </x:row>
    <x:row r="47">
      <x:c r="A47" s="12"/>
      <x:c r="B47" s="13"/>
      <x:c r="C47" s="13"/>
      <x:c r="D47" s="13"/>
      <x:c r="E47" s="13"/>
      <x:c r="F47" s="14"/>
    </x:row>
  </x:sheetData>
  <x:mergeCells>
    <x:mergeCell ref="A1:F1"/>
    <x:mergeCell ref="A2:F2"/>
    <x:mergeCell ref="A45:F45"/>
    <x:mergeCell ref="A46:F46"/>
    <x:mergeCell ref="A47:F4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2" hidden="0" customWidth="1"/>
    <x:col min="3" max="3" width="17" hidden="0" customWidth="1"/>
    <x:col min="4" max="4" width="14" hidden="0" customWidth="1"/>
    <x:col min="5" max="5" width="16" hidden="0" customWidth="1"/>
    <x:col min="6" max="6" width="13" hidden="0" customWidth="1"/>
  </x:cols>
  <x:sheetData>
    <x:row r="1" ht="32" customHeight="1">
      <x:c r="A1" s="32" t="str">
        <x:v>《疯狂期货》受控价差价格阶梯</x:v>
      </x:c>
      <x:c r="B1" s="32"/>
      <x:c r="C1" s="32"/>
      <x:c r="D1" s="32"/>
      <x:c r="E1" s="32"/>
      <x:c r="F1" s="32"/>
    </x:row>
    <x:row r="2" ht="24" customHeight="1">
      <x:c r="A2" s="35" t="str">
        <x:v>51 格｜中心价 100（第 26 格）｜全部为偶数｜低位小价差、中位平滑扩张、高位受控扩张</x:v>
      </x:c>
      <x:c r="B2" s="35"/>
      <x:c r="C2" s="35"/>
      <x:c r="D2" s="35"/>
      <x:c r="E2" s="35"/>
      <x:c r="F2" s="35"/>
    </x:row>
    <x:row r="4" ht="24" customHeight="1">
      <x:c r="A4" s="44" t="str">
        <x:v>格位</x:v>
      </x:c>
      <x:c r="B4" s="45" t="str">
        <x:v>区段</x:v>
      </x:c>
      <x:c r="C4" s="45" t="str">
        <x:v>价格（万金币）</x:v>
      </x:c>
      <x:c r="D4" s="45" t="str">
        <x:v>相邻价差</x:v>
      </x:c>
      <x:c r="E4" s="45" t="str">
        <x:v>单份保证金</x:v>
      </x:c>
      <x:c r="F4" s="46" t="str">
        <x:v>相邻涨幅</x:v>
      </x:c>
    </x:row>
    <x:row r="5" ht="20" customHeight="1">
      <x:c r="A5" s="65" t="n">
        <x:v>1</x:v>
      </x:c>
      <x:c r="B5" s="90" t="str">
        <x:v>低价区</x:v>
      </x:c>
      <x:c r="C5" s="80" t="n">
        <x:v>10</x:v>
      </x:c>
      <x:c r="D5" s="80"/>
      <x:c r="E5" s="80" t="n">
        <x:f>C5/2</x:f>
        <x:v>5</x:v>
      </x:c>
      <x:c r="F5" s="85"/>
    </x:row>
    <x:row r="6" ht="20" customHeight="1">
      <x:c r="A6" s="67" t="n">
        <x:v>2</x:v>
      </x:c>
      <x:c r="B6" s="91" t="str">
        <x:v>低价区</x:v>
      </x:c>
      <x:c r="C6" s="81" t="n">
        <x:v>12</x:v>
      </x:c>
      <x:c r="D6" s="81" t="n">
        <x:f>C6-C5</x:f>
        <x:v>2</x:v>
      </x:c>
      <x:c r="E6" s="81" t="n">
        <x:f>C6/2</x:f>
        <x:v>6</x:v>
      </x:c>
      <x:c r="F6" s="86" t="n">
        <x:f>D6/C5</x:f>
        <x:v>0.2</x:v>
      </x:c>
    </x:row>
    <x:row r="7" ht="20" customHeight="1">
      <x:c r="A7" s="67" t="n">
        <x:v>3</x:v>
      </x:c>
      <x:c r="B7" s="91" t="str">
        <x:v>低价区</x:v>
      </x:c>
      <x:c r="C7" s="81" t="n">
        <x:v>14</x:v>
      </x:c>
      <x:c r="D7" s="81" t="n">
        <x:f>C7-C6</x:f>
        <x:v>2</x:v>
      </x:c>
      <x:c r="E7" s="81" t="n">
        <x:f>C7/2</x:f>
        <x:v>7</x:v>
      </x:c>
      <x:c r="F7" s="86" t="n">
        <x:f>D7/C6</x:f>
        <x:v>0.16666666666666666</x:v>
      </x:c>
    </x:row>
    <x:row r="8" ht="20" customHeight="1">
      <x:c r="A8" s="67" t="n">
        <x:v>4</x:v>
      </x:c>
      <x:c r="B8" s="91" t="str">
        <x:v>低价区</x:v>
      </x:c>
      <x:c r="C8" s="81" t="n">
        <x:v>16</x:v>
      </x:c>
      <x:c r="D8" s="81" t="n">
        <x:f>C8-C7</x:f>
        <x:v>2</x:v>
      </x:c>
      <x:c r="E8" s="81" t="n">
        <x:f>C8/2</x:f>
        <x:v>8</x:v>
      </x:c>
      <x:c r="F8" s="86" t="n">
        <x:f>D8/C7</x:f>
        <x:v>0.14285714285714285</x:v>
      </x:c>
    </x:row>
    <x:row r="9" ht="20" customHeight="1">
      <x:c r="A9" s="67" t="n">
        <x:v>5</x:v>
      </x:c>
      <x:c r="B9" s="91" t="str">
        <x:v>低价区</x:v>
      </x:c>
      <x:c r="C9" s="81" t="n">
        <x:v>18</x:v>
      </x:c>
      <x:c r="D9" s="81" t="n">
        <x:f>C9-C8</x:f>
        <x:v>2</x:v>
      </x:c>
      <x:c r="E9" s="81" t="n">
        <x:f>C9/2</x:f>
        <x:v>9</x:v>
      </x:c>
      <x:c r="F9" s="86" t="n">
        <x:f>D9/C8</x:f>
        <x:v>0.125</x:v>
      </x:c>
    </x:row>
    <x:row r="10" ht="20" customHeight="1">
      <x:c r="A10" s="67" t="n">
        <x:v>6</x:v>
      </x:c>
      <x:c r="B10" s="91" t="str">
        <x:v>低价区</x:v>
      </x:c>
      <x:c r="C10" s="81" t="n">
        <x:v>20</x:v>
      </x:c>
      <x:c r="D10" s="81" t="n">
        <x:f>C10-C9</x:f>
        <x:v>2</x:v>
      </x:c>
      <x:c r="E10" s="81" t="n">
        <x:f>C10/2</x:f>
        <x:v>10</x:v>
      </x:c>
      <x:c r="F10" s="86" t="n">
        <x:f>D10/C9</x:f>
        <x:v>0.1111111111111111</x:v>
      </x:c>
    </x:row>
    <x:row r="11" ht="20" customHeight="1">
      <x:c r="A11" s="67" t="n">
        <x:v>7</x:v>
      </x:c>
      <x:c r="B11" s="91" t="str">
        <x:v>低价区</x:v>
      </x:c>
      <x:c r="C11" s="81" t="n">
        <x:v>22</x:v>
      </x:c>
      <x:c r="D11" s="81" t="n">
        <x:f>C11-C10</x:f>
        <x:v>2</x:v>
      </x:c>
      <x:c r="E11" s="81" t="n">
        <x:f>C11/2</x:f>
        <x:v>11</x:v>
      </x:c>
      <x:c r="F11" s="86" t="n">
        <x:f>D11/C10</x:f>
        <x:v>0.1</x:v>
      </x:c>
    </x:row>
    <x:row r="12" ht="20" customHeight="1">
      <x:c r="A12" s="67" t="n">
        <x:v>8</x:v>
      </x:c>
      <x:c r="B12" s="91" t="str">
        <x:v>低价区</x:v>
      </x:c>
      <x:c r="C12" s="81" t="n">
        <x:v>24</x:v>
      </x:c>
      <x:c r="D12" s="81" t="n">
        <x:f>C12-C11</x:f>
        <x:v>2</x:v>
      </x:c>
      <x:c r="E12" s="81" t="n">
        <x:f>C12/2</x:f>
        <x:v>12</x:v>
      </x:c>
      <x:c r="F12" s="86" t="n">
        <x:f>D12/C11</x:f>
        <x:v>0.09090909090909091</x:v>
      </x:c>
    </x:row>
    <x:row r="13" ht="20" customHeight="1">
      <x:c r="A13" s="67" t="n">
        <x:v>9</x:v>
      </x:c>
      <x:c r="B13" s="91" t="str">
        <x:v>低价区</x:v>
      </x:c>
      <x:c r="C13" s="81" t="n">
        <x:v>26</x:v>
      </x:c>
      <x:c r="D13" s="81" t="n">
        <x:f>C13-C12</x:f>
        <x:v>2</x:v>
      </x:c>
      <x:c r="E13" s="81" t="n">
        <x:f>C13/2</x:f>
        <x:v>13</x:v>
      </x:c>
      <x:c r="F13" s="86" t="n">
        <x:f>D13/C12</x:f>
        <x:v>0.08333333333333333</x:v>
      </x:c>
    </x:row>
    <x:row r="14" ht="20" customHeight="1">
      <x:c r="A14" s="67" t="n">
        <x:v>10</x:v>
      </x:c>
      <x:c r="B14" s="91" t="str">
        <x:v>低价区</x:v>
      </x:c>
      <x:c r="C14" s="81" t="n">
        <x:v>28</x:v>
      </x:c>
      <x:c r="D14" s="81" t="n">
        <x:f>C14-C13</x:f>
        <x:v>2</x:v>
      </x:c>
      <x:c r="E14" s="81" t="n">
        <x:f>C14/2</x:f>
        <x:v>14</x:v>
      </x:c>
      <x:c r="F14" s="86" t="n">
        <x:f>D14/C13</x:f>
        <x:v>0.07692307692307693</x:v>
      </x:c>
    </x:row>
    <x:row r="15" ht="20" customHeight="1">
      <x:c r="A15" s="67" t="n">
        <x:v>11</x:v>
      </x:c>
      <x:c r="B15" s="91" t="str">
        <x:v>低价区</x:v>
      </x:c>
      <x:c r="C15" s="81" t="n">
        <x:v>30</x:v>
      </x:c>
      <x:c r="D15" s="81" t="n">
        <x:f>C15-C14</x:f>
        <x:v>2</x:v>
      </x:c>
      <x:c r="E15" s="81" t="n">
        <x:f>C15/2</x:f>
        <x:v>15</x:v>
      </x:c>
      <x:c r="F15" s="86" t="n">
        <x:f>D15/C14</x:f>
        <x:v>0.07142857142857142</x:v>
      </x:c>
    </x:row>
    <x:row r="16" ht="20" customHeight="1">
      <x:c r="A16" s="67" t="n">
        <x:v>12</x:v>
      </x:c>
      <x:c r="B16" s="91" t="str">
        <x:v>低价区</x:v>
      </x:c>
      <x:c r="C16" s="81" t="n">
        <x:v>32</x:v>
      </x:c>
      <x:c r="D16" s="81" t="n">
        <x:f>C16-C15</x:f>
        <x:v>2</x:v>
      </x:c>
      <x:c r="E16" s="81" t="n">
        <x:f>C16/2</x:f>
        <x:v>16</x:v>
      </x:c>
      <x:c r="F16" s="86" t="n">
        <x:f>D16/C15</x:f>
        <x:v>0.06666666666666667</x:v>
      </x:c>
    </x:row>
    <x:row r="17" ht="20" customHeight="1">
      <x:c r="A17" s="67" t="n">
        <x:v>13</x:v>
      </x:c>
      <x:c r="B17" s="91" t="str">
        <x:v>低价区</x:v>
      </x:c>
      <x:c r="C17" s="81" t="n">
        <x:v>34</x:v>
      </x:c>
      <x:c r="D17" s="81" t="n">
        <x:f>C17-C16</x:f>
        <x:v>2</x:v>
      </x:c>
      <x:c r="E17" s="81" t="n">
        <x:f>C17/2</x:f>
        <x:v>17</x:v>
      </x:c>
      <x:c r="F17" s="86" t="n">
        <x:f>D17/C16</x:f>
        <x:v>0.0625</x:v>
      </x:c>
    </x:row>
    <x:row r="18" ht="20" customHeight="1">
      <x:c r="A18" s="67" t="n">
        <x:v>14</x:v>
      </x:c>
      <x:c r="B18" s="91" t="str">
        <x:v>低价区</x:v>
      </x:c>
      <x:c r="C18" s="81" t="n">
        <x:v>36</x:v>
      </x:c>
      <x:c r="D18" s="81" t="n">
        <x:f>C18-C17</x:f>
        <x:v>2</x:v>
      </x:c>
      <x:c r="E18" s="81" t="n">
        <x:f>C18/2</x:f>
        <x:v>18</x:v>
      </x:c>
      <x:c r="F18" s="86" t="n">
        <x:f>D18/C17</x:f>
        <x:v>0.058823529411764705</x:v>
      </x:c>
    </x:row>
    <x:row r="19" ht="20" customHeight="1">
      <x:c r="A19" s="67" t="n">
        <x:v>15</x:v>
      </x:c>
      <x:c r="B19" s="91" t="str">
        <x:v>低价区</x:v>
      </x:c>
      <x:c r="C19" s="81" t="n">
        <x:v>38</x:v>
      </x:c>
      <x:c r="D19" s="81" t="n">
        <x:f>C19-C18</x:f>
        <x:v>2</x:v>
      </x:c>
      <x:c r="E19" s="81" t="n">
        <x:f>C19/2</x:f>
        <x:v>19</x:v>
      </x:c>
      <x:c r="F19" s="86" t="n">
        <x:f>D19/C18</x:f>
        <x:v>0.05555555555555555</x:v>
      </x:c>
    </x:row>
    <x:row r="20" ht="20" customHeight="1">
      <x:c r="A20" s="67" t="n">
        <x:v>16</x:v>
      </x:c>
      <x:c r="B20" s="91" t="str">
        <x:v>低价区</x:v>
      </x:c>
      <x:c r="C20" s="81" t="n">
        <x:v>40</x:v>
      </x:c>
      <x:c r="D20" s="81" t="n">
        <x:f>C20-C19</x:f>
        <x:v>2</x:v>
      </x:c>
      <x:c r="E20" s="81" t="n">
        <x:f>C20/2</x:f>
        <x:v>20</x:v>
      </x:c>
      <x:c r="F20" s="86" t="n">
        <x:f>D20/C19</x:f>
        <x:v>0.05263157894736842</x:v>
      </x:c>
    </x:row>
    <x:row r="21" ht="20" customHeight="1">
      <x:c r="A21" s="67" t="n">
        <x:v>17</x:v>
      </x:c>
      <x:c r="B21" s="91" t="str">
        <x:v>低价区</x:v>
      </x:c>
      <x:c r="C21" s="81" t="n">
        <x:v>42</x:v>
      </x:c>
      <x:c r="D21" s="81" t="n">
        <x:f>C21-C20</x:f>
        <x:v>2</x:v>
      </x:c>
      <x:c r="E21" s="81" t="n">
        <x:f>C21/2</x:f>
        <x:v>21</x:v>
      </x:c>
      <x:c r="F21" s="86" t="n">
        <x:f>D21/C20</x:f>
        <x:v>0.05</x:v>
      </x:c>
    </x:row>
    <x:row r="22" ht="20" customHeight="1">
      <x:c r="A22" s="69" t="n">
        <x:v>18</x:v>
      </x:c>
      <x:c r="B22" s="92" t="str">
        <x:v>中价区</x:v>
      </x:c>
      <x:c r="C22" s="82" t="n">
        <x:v>46</x:v>
      </x:c>
      <x:c r="D22" s="82" t="n">
        <x:f>C22-C21</x:f>
        <x:v>4</x:v>
      </x:c>
      <x:c r="E22" s="82" t="n">
        <x:f>C22/2</x:f>
        <x:v>23</x:v>
      </x:c>
      <x:c r="F22" s="87" t="n">
        <x:f>D22/C21</x:f>
        <x:v>0.09523809523809523</x:v>
      </x:c>
    </x:row>
    <x:row r="23" ht="20" customHeight="1">
      <x:c r="A23" s="69" t="n">
        <x:v>19</x:v>
      </x:c>
      <x:c r="B23" s="92" t="str">
        <x:v>中价区</x:v>
      </x:c>
      <x:c r="C23" s="82" t="n">
        <x:v>52</x:v>
      </x:c>
      <x:c r="D23" s="82" t="n">
        <x:f>C23-C22</x:f>
        <x:v>6</x:v>
      </x:c>
      <x:c r="E23" s="82" t="n">
        <x:f>C23/2</x:f>
        <x:v>26</x:v>
      </x:c>
      <x:c r="F23" s="87" t="n">
        <x:f>D23/C22</x:f>
        <x:v>0.13043478260869565</x:v>
      </x:c>
    </x:row>
    <x:row r="24" ht="20" customHeight="1">
      <x:c r="A24" s="69" t="n">
        <x:v>20</x:v>
      </x:c>
      <x:c r="B24" s="92" t="str">
        <x:v>中价区</x:v>
      </x:c>
      <x:c r="C24" s="82" t="n">
        <x:v>56</x:v>
      </x:c>
      <x:c r="D24" s="82" t="n">
        <x:f>C24-C23</x:f>
        <x:v>4</x:v>
      </x:c>
      <x:c r="E24" s="82" t="n">
        <x:f>C24/2</x:f>
        <x:v>28</x:v>
      </x:c>
      <x:c r="F24" s="87" t="n">
        <x:f>D24/C23</x:f>
        <x:v>0.07692307692307693</x:v>
      </x:c>
    </x:row>
    <x:row r="25" ht="20" customHeight="1">
      <x:c r="A25" s="69" t="n">
        <x:v>21</x:v>
      </x:c>
      <x:c r="B25" s="92" t="str">
        <x:v>中价区</x:v>
      </x:c>
      <x:c r="C25" s="82" t="n">
        <x:v>62</x:v>
      </x:c>
      <x:c r="D25" s="82" t="n">
        <x:f>C25-C24</x:f>
        <x:v>6</x:v>
      </x:c>
      <x:c r="E25" s="82" t="n">
        <x:f>C25/2</x:f>
        <x:v>31</x:v>
      </x:c>
      <x:c r="F25" s="87" t="n">
        <x:f>D25/C24</x:f>
        <x:v>0.10714285714285714</x:v>
      </x:c>
    </x:row>
    <x:row r="26" ht="20" customHeight="1">
      <x:c r="A26" s="69" t="n">
        <x:v>22</x:v>
      </x:c>
      <x:c r="B26" s="92" t="str">
        <x:v>中价区</x:v>
      </x:c>
      <x:c r="C26" s="82" t="n">
        <x:v>68</x:v>
      </x:c>
      <x:c r="D26" s="82" t="n">
        <x:f>C26-C25</x:f>
        <x:v>6</x:v>
      </x:c>
      <x:c r="E26" s="82" t="n">
        <x:f>C26/2</x:f>
        <x:v>34</x:v>
      </x:c>
      <x:c r="F26" s="87" t="n">
        <x:f>D26/C25</x:f>
        <x:v>0.0967741935483871</x:v>
      </x:c>
    </x:row>
    <x:row r="27" ht="20" customHeight="1">
      <x:c r="A27" s="69" t="n">
        <x:v>23</x:v>
      </x:c>
      <x:c r="B27" s="92" t="str">
        <x:v>中价区</x:v>
      </x:c>
      <x:c r="C27" s="82" t="n">
        <x:v>76</x:v>
      </x:c>
      <x:c r="D27" s="82" t="n">
        <x:f>C27-C26</x:f>
        <x:v>8</x:v>
      </x:c>
      <x:c r="E27" s="82" t="n">
        <x:f>C27/2</x:f>
        <x:v>38</x:v>
      </x:c>
      <x:c r="F27" s="87" t="n">
        <x:f>D27/C26</x:f>
        <x:v>0.11764705882352941</x:v>
      </x:c>
    </x:row>
    <x:row r="28" ht="20" customHeight="1">
      <x:c r="A28" s="69" t="n">
        <x:v>24</x:v>
      </x:c>
      <x:c r="B28" s="92" t="str">
        <x:v>中价区</x:v>
      </x:c>
      <x:c r="C28" s="82" t="n">
        <x:v>84</x:v>
      </x:c>
      <x:c r="D28" s="82" t="n">
        <x:f>C28-C27</x:f>
        <x:v>8</x:v>
      </x:c>
      <x:c r="E28" s="82" t="n">
        <x:f>C28/2</x:f>
        <x:v>42</x:v>
      </x:c>
      <x:c r="F28" s="87" t="n">
        <x:f>D28/C27</x:f>
        <x:v>0.10526315789473684</x:v>
      </x:c>
    </x:row>
    <x:row r="29" ht="20" customHeight="1">
      <x:c r="A29" s="69" t="n">
        <x:v>25</x:v>
      </x:c>
      <x:c r="B29" s="92" t="str">
        <x:v>中价区</x:v>
      </x:c>
      <x:c r="C29" s="82" t="n">
        <x:v>92</x:v>
      </x:c>
      <x:c r="D29" s="82" t="n">
        <x:f>C29-C28</x:f>
        <x:v>8</x:v>
      </x:c>
      <x:c r="E29" s="82" t="n">
        <x:f>C29/2</x:f>
        <x:v>46</x:v>
      </x:c>
      <x:c r="F29" s="87" t="n">
        <x:f>D29/C28</x:f>
        <x:v>0.09523809523809523</x:v>
      </x:c>
    </x:row>
    <x:row r="30" ht="20" customHeight="1">
      <x:c r="A30" s="69" t="n">
        <x:v>26</x:v>
      </x:c>
      <x:c r="B30" s="92" t="str">
        <x:v>中价区</x:v>
      </x:c>
      <x:c r="C30" s="82" t="n">
        <x:v>100</x:v>
      </x:c>
      <x:c r="D30" s="82" t="n">
        <x:f>C30-C29</x:f>
        <x:v>8</x:v>
      </x:c>
      <x:c r="E30" s="82" t="n">
        <x:f>C30/2</x:f>
        <x:v>50</x:v>
      </x:c>
      <x:c r="F30" s="87" t="n">
        <x:f>D30/C29</x:f>
        <x:v>0.08695652173913043</x:v>
      </x:c>
    </x:row>
    <x:row r="31" ht="20" customHeight="1">
      <x:c r="A31" s="69" t="n">
        <x:v>27</x:v>
      </x:c>
      <x:c r="B31" s="92" t="str">
        <x:v>中价区</x:v>
      </x:c>
      <x:c r="C31" s="82" t="n">
        <x:v>110</x:v>
      </x:c>
      <x:c r="D31" s="82" t="n">
        <x:f>C31-C30</x:f>
        <x:v>10</x:v>
      </x:c>
      <x:c r="E31" s="82" t="n">
        <x:f>C31/2</x:f>
        <x:v>55</x:v>
      </x:c>
      <x:c r="F31" s="87" t="n">
        <x:f>D31/C30</x:f>
        <x:v>0.1</x:v>
      </x:c>
    </x:row>
    <x:row r="32" ht="20" customHeight="1">
      <x:c r="A32" s="69" t="n">
        <x:v>28</x:v>
      </x:c>
      <x:c r="B32" s="92" t="str">
        <x:v>中价区</x:v>
      </x:c>
      <x:c r="C32" s="82" t="n">
        <x:v>122</x:v>
      </x:c>
      <x:c r="D32" s="82" t="n">
        <x:f>C32-C31</x:f>
        <x:v>12</x:v>
      </x:c>
      <x:c r="E32" s="82" t="n">
        <x:f>C32/2</x:f>
        <x:v>61</x:v>
      </x:c>
      <x:c r="F32" s="87" t="n">
        <x:f>D32/C31</x:f>
        <x:v>0.10909090909090909</x:v>
      </x:c>
    </x:row>
    <x:row r="33" ht="20" customHeight="1">
      <x:c r="A33" s="69" t="n">
        <x:v>29</x:v>
      </x:c>
      <x:c r="B33" s="92" t="str">
        <x:v>中价区</x:v>
      </x:c>
      <x:c r="C33" s="82" t="n">
        <x:v>134</x:v>
      </x:c>
      <x:c r="D33" s="82" t="n">
        <x:f>C33-C32</x:f>
        <x:v>12</x:v>
      </x:c>
      <x:c r="E33" s="82" t="n">
        <x:f>C33/2</x:f>
        <x:v>67</x:v>
      </x:c>
      <x:c r="F33" s="87" t="n">
        <x:f>D33/C32</x:f>
        <x:v>0.09836065573770492</x:v>
      </x:c>
    </x:row>
    <x:row r="34" ht="20" customHeight="1">
      <x:c r="A34" s="69" t="n">
        <x:v>30</x:v>
      </x:c>
      <x:c r="B34" s="92" t="str">
        <x:v>中价区</x:v>
      </x:c>
      <x:c r="C34" s="82" t="n">
        <x:v>146</x:v>
      </x:c>
      <x:c r="D34" s="82" t="n">
        <x:f>C34-C33</x:f>
        <x:v>12</x:v>
      </x:c>
      <x:c r="E34" s="82" t="n">
        <x:f>C34/2</x:f>
        <x:v>73</x:v>
      </x:c>
      <x:c r="F34" s="87" t="n">
        <x:f>D34/C33</x:f>
        <x:v>0.08955223880597014</x:v>
      </x:c>
    </x:row>
    <x:row r="35" ht="20" customHeight="1">
      <x:c r="A35" s="69" t="n">
        <x:v>31</x:v>
      </x:c>
      <x:c r="B35" s="92" t="str">
        <x:v>中价区</x:v>
      </x:c>
      <x:c r="C35" s="82" t="n">
        <x:v>162</x:v>
      </x:c>
      <x:c r="D35" s="82" t="n">
        <x:f>C35-C34</x:f>
        <x:v>16</x:v>
      </x:c>
      <x:c r="E35" s="82" t="n">
        <x:f>C35/2</x:f>
        <x:v>81</x:v>
      </x:c>
      <x:c r="F35" s="87" t="n">
        <x:f>D35/C34</x:f>
        <x:v>0.1095890410958904</x:v>
      </x:c>
    </x:row>
    <x:row r="36" ht="20" customHeight="1">
      <x:c r="A36" s="69" t="n">
        <x:v>32</x:v>
      </x:c>
      <x:c r="B36" s="92" t="str">
        <x:v>中价区</x:v>
      </x:c>
      <x:c r="C36" s="82" t="n">
        <x:v>178</x:v>
      </x:c>
      <x:c r="D36" s="82" t="n">
        <x:f>C36-C35</x:f>
        <x:v>16</x:v>
      </x:c>
      <x:c r="E36" s="82" t="n">
        <x:f>C36/2</x:f>
        <x:v>89</x:v>
      </x:c>
      <x:c r="F36" s="87" t="n">
        <x:f>D36/C35</x:f>
        <x:v>0.09876543209876543</x:v>
      </x:c>
    </x:row>
    <x:row r="37" ht="20" customHeight="1">
      <x:c r="A37" s="69" t="n">
        <x:v>33</x:v>
      </x:c>
      <x:c r="B37" s="92" t="str">
        <x:v>中价区</x:v>
      </x:c>
      <x:c r="C37" s="82" t="n">
        <x:v>196</x:v>
      </x:c>
      <x:c r="D37" s="82" t="n">
        <x:f>C37-C36</x:f>
        <x:v>18</x:v>
      </x:c>
      <x:c r="E37" s="82" t="n">
        <x:f>C37/2</x:f>
        <x:v>98</x:v>
      </x:c>
      <x:c r="F37" s="87" t="n">
        <x:f>D37/C36</x:f>
        <x:v>0.10112359550561797</x:v>
      </x:c>
    </x:row>
    <x:row r="38" ht="20" customHeight="1">
      <x:c r="A38" s="69" t="n">
        <x:v>34</x:v>
      </x:c>
      <x:c r="B38" s="92" t="str">
        <x:v>中价区</x:v>
      </x:c>
      <x:c r="C38" s="82" t="n">
        <x:v>216</x:v>
      </x:c>
      <x:c r="D38" s="82" t="n">
        <x:f>C38-C37</x:f>
        <x:v>20</x:v>
      </x:c>
      <x:c r="E38" s="82" t="n">
        <x:f>C38/2</x:f>
        <x:v>108</x:v>
      </x:c>
      <x:c r="F38" s="87" t="n">
        <x:f>D38/C37</x:f>
        <x:v>0.10204081632653061</x:v>
      </x:c>
    </x:row>
    <x:row r="39" ht="20" customHeight="1">
      <x:c r="A39" s="71" t="n">
        <x:v>35</x:v>
      </x:c>
      <x:c r="B39" s="93" t="str">
        <x:v>高价区</x:v>
      </x:c>
      <x:c r="C39" s="83" t="n">
        <x:v>238</x:v>
      </x:c>
      <x:c r="D39" s="83" t="n">
        <x:f>C39-C38</x:f>
        <x:v>22</x:v>
      </x:c>
      <x:c r="E39" s="83" t="n">
        <x:f>C39/2</x:f>
        <x:v>119</x:v>
      </x:c>
      <x:c r="F39" s="88" t="n">
        <x:f>D39/C38</x:f>
        <x:v>0.10185185185185185</x:v>
      </x:c>
    </x:row>
    <x:row r="40" ht="20" customHeight="1">
      <x:c r="A40" s="71" t="n">
        <x:v>36</x:v>
      </x:c>
      <x:c r="B40" s="93" t="str">
        <x:v>高价区</x:v>
      </x:c>
      <x:c r="C40" s="83" t="n">
        <x:v>262</x:v>
      </x:c>
      <x:c r="D40" s="83" t="n">
        <x:f>C40-C39</x:f>
        <x:v>24</x:v>
      </x:c>
      <x:c r="E40" s="83" t="n">
        <x:f>C40/2</x:f>
        <x:v>131</x:v>
      </x:c>
      <x:c r="F40" s="88" t="n">
        <x:f>D40/C39</x:f>
        <x:v>0.10084033613445378</x:v>
      </x:c>
    </x:row>
    <x:row r="41" ht="20" customHeight="1">
      <x:c r="A41" s="71" t="n">
        <x:v>37</x:v>
      </x:c>
      <x:c r="B41" s="93" t="str">
        <x:v>高价区</x:v>
      </x:c>
      <x:c r="C41" s="83" t="n">
        <x:v>286</x:v>
      </x:c>
      <x:c r="D41" s="83" t="n">
        <x:f>C41-C40</x:f>
        <x:v>24</x:v>
      </x:c>
      <x:c r="E41" s="83" t="n">
        <x:f>C41/2</x:f>
        <x:v>143</x:v>
      </x:c>
      <x:c r="F41" s="88" t="n">
        <x:f>D41/C40</x:f>
        <x:v>0.0916030534351145</x:v>
      </x:c>
    </x:row>
    <x:row r="42" ht="20" customHeight="1">
      <x:c r="A42" s="71" t="n">
        <x:v>38</x:v>
      </x:c>
      <x:c r="B42" s="93" t="str">
        <x:v>高价区</x:v>
      </x:c>
      <x:c r="C42" s="83" t="n">
        <x:v>312</x:v>
      </x:c>
      <x:c r="D42" s="83" t="n">
        <x:f>C42-C41</x:f>
        <x:v>26</x:v>
      </x:c>
      <x:c r="E42" s="83" t="n">
        <x:f>C42/2</x:f>
        <x:v>156</x:v>
      </x:c>
      <x:c r="F42" s="88" t="n">
        <x:f>D42/C41</x:f>
        <x:v>0.09090909090909091</x:v>
      </x:c>
    </x:row>
    <x:row r="43" ht="20" customHeight="1">
      <x:c r="A43" s="71" t="n">
        <x:v>39</x:v>
      </x:c>
      <x:c r="B43" s="93" t="str">
        <x:v>高价区</x:v>
      </x:c>
      <x:c r="C43" s="83" t="n">
        <x:v>338</x:v>
      </x:c>
      <x:c r="D43" s="83" t="n">
        <x:f>C43-C42</x:f>
        <x:v>26</x:v>
      </x:c>
      <x:c r="E43" s="83" t="n">
        <x:f>C43/2</x:f>
        <x:v>169</x:v>
      </x:c>
      <x:c r="F43" s="88" t="n">
        <x:f>D43/C42</x:f>
        <x:v>0.08333333333333333</x:v>
      </x:c>
    </x:row>
    <x:row r="44" ht="20" customHeight="1">
      <x:c r="A44" s="71" t="n">
        <x:v>40</x:v>
      </x:c>
      <x:c r="B44" s="93" t="str">
        <x:v>高价区</x:v>
      </x:c>
      <x:c r="C44" s="83" t="n">
        <x:v>366</x:v>
      </x:c>
      <x:c r="D44" s="83" t="n">
        <x:f>C44-C43</x:f>
        <x:v>28</x:v>
      </x:c>
      <x:c r="E44" s="83" t="n">
        <x:f>C44/2</x:f>
        <x:v>183</x:v>
      </x:c>
      <x:c r="F44" s="88" t="n">
        <x:f>D44/C43</x:f>
        <x:v>0.08284023668639054</x:v>
      </x:c>
    </x:row>
    <x:row r="45" ht="20" customHeight="1">
      <x:c r="A45" s="71" t="n">
        <x:v>41</x:v>
      </x:c>
      <x:c r="B45" s="93" t="str">
        <x:v>高价区</x:v>
      </x:c>
      <x:c r="C45" s="83" t="n">
        <x:v>394</x:v>
      </x:c>
      <x:c r="D45" s="83" t="n">
        <x:f>C45-C44</x:f>
        <x:v>28</x:v>
      </x:c>
      <x:c r="E45" s="83" t="n">
        <x:f>C45/2</x:f>
        <x:v>197</x:v>
      </x:c>
      <x:c r="F45" s="88" t="n">
        <x:f>D45/C44</x:f>
        <x:v>0.07650273224043716</x:v>
      </x:c>
    </x:row>
    <x:row r="46" ht="20" customHeight="1">
      <x:c r="A46" s="71" t="n">
        <x:v>42</x:v>
      </x:c>
      <x:c r="B46" s="93" t="str">
        <x:v>高价区</x:v>
      </x:c>
      <x:c r="C46" s="83" t="n">
        <x:v>424</x:v>
      </x:c>
      <x:c r="D46" s="83" t="n">
        <x:f>C46-C45</x:f>
        <x:v>30</x:v>
      </x:c>
      <x:c r="E46" s="83" t="n">
        <x:f>C46/2</x:f>
        <x:v>212</x:v>
      </x:c>
      <x:c r="F46" s="88" t="n">
        <x:f>D46/C45</x:f>
        <x:v>0.07614213197969544</x:v>
      </x:c>
    </x:row>
    <x:row r="47" ht="20" customHeight="1">
      <x:c r="A47" s="71" t="n">
        <x:v>43</x:v>
      </x:c>
      <x:c r="B47" s="93" t="str">
        <x:v>高价区</x:v>
      </x:c>
      <x:c r="C47" s="83" t="n">
        <x:v>454</x:v>
      </x:c>
      <x:c r="D47" s="83" t="n">
        <x:f>C47-C46</x:f>
        <x:v>30</x:v>
      </x:c>
      <x:c r="E47" s="83" t="n">
        <x:f>C47/2</x:f>
        <x:v>227</x:v>
      </x:c>
      <x:c r="F47" s="88" t="n">
        <x:f>D47/C46</x:f>
        <x:v>0.07075471698113207</x:v>
      </x:c>
    </x:row>
    <x:row r="48" ht="20" customHeight="1">
      <x:c r="A48" s="71" t="n">
        <x:v>44</x:v>
      </x:c>
      <x:c r="B48" s="93" t="str">
        <x:v>高价区</x:v>
      </x:c>
      <x:c r="C48" s="83" t="n">
        <x:v>486</x:v>
      </x:c>
      <x:c r="D48" s="83" t="n">
        <x:f>C48-C47</x:f>
        <x:v>32</x:v>
      </x:c>
      <x:c r="E48" s="83" t="n">
        <x:f>C48/2</x:f>
        <x:v>243</x:v>
      </x:c>
      <x:c r="F48" s="88" t="n">
        <x:f>D48/C47</x:f>
        <x:v>0.07048458149779736</x:v>
      </x:c>
    </x:row>
    <x:row r="49" ht="20" customHeight="1">
      <x:c r="A49" s="71" t="n">
        <x:v>45</x:v>
      </x:c>
      <x:c r="B49" s="93" t="str">
        <x:v>高价区</x:v>
      </x:c>
      <x:c r="C49" s="83" t="n">
        <x:v>518</x:v>
      </x:c>
      <x:c r="D49" s="83" t="n">
        <x:f>C49-C48</x:f>
        <x:v>32</x:v>
      </x:c>
      <x:c r="E49" s="83" t="n">
        <x:f>C49/2</x:f>
        <x:v>259</x:v>
      </x:c>
      <x:c r="F49" s="88" t="n">
        <x:f>D49/C48</x:f>
        <x:v>0.06584362139917696</x:v>
      </x:c>
    </x:row>
    <x:row r="50" ht="20" customHeight="1">
      <x:c r="A50" s="71" t="n">
        <x:v>46</x:v>
      </x:c>
      <x:c r="B50" s="93" t="str">
        <x:v>高价区</x:v>
      </x:c>
      <x:c r="C50" s="83" t="n">
        <x:v>552</x:v>
      </x:c>
      <x:c r="D50" s="83" t="n">
        <x:f>C50-C49</x:f>
        <x:v>34</x:v>
      </x:c>
      <x:c r="E50" s="83" t="n">
        <x:f>C50/2</x:f>
        <x:v>276</x:v>
      </x:c>
      <x:c r="F50" s="88" t="n">
        <x:f>D50/C49</x:f>
        <x:v>0.06563706563706563</x:v>
      </x:c>
    </x:row>
    <x:row r="51" ht="20" customHeight="1">
      <x:c r="A51" s="71" t="n">
        <x:v>47</x:v>
      </x:c>
      <x:c r="B51" s="93" t="str">
        <x:v>高价区</x:v>
      </x:c>
      <x:c r="C51" s="83" t="n">
        <x:v>586</x:v>
      </x:c>
      <x:c r="D51" s="83" t="n">
        <x:f>C51-C50</x:f>
        <x:v>34</x:v>
      </x:c>
      <x:c r="E51" s="83" t="n">
        <x:f>C51/2</x:f>
        <x:v>293</x:v>
      </x:c>
      <x:c r="F51" s="88" t="n">
        <x:f>D51/C50</x:f>
        <x:v>0.06159420289855073</x:v>
      </x:c>
    </x:row>
    <x:row r="52" ht="20" customHeight="1">
      <x:c r="A52" s="71" t="n">
        <x:v>48</x:v>
      </x:c>
      <x:c r="B52" s="93" t="str">
        <x:v>高价区</x:v>
      </x:c>
      <x:c r="C52" s="83" t="n">
        <x:v>622</x:v>
      </x:c>
      <x:c r="D52" s="83" t="n">
        <x:f>C52-C51</x:f>
        <x:v>36</x:v>
      </x:c>
      <x:c r="E52" s="83" t="n">
        <x:f>C52/2</x:f>
        <x:v>311</x:v>
      </x:c>
      <x:c r="F52" s="88" t="n">
        <x:f>D52/C51</x:f>
        <x:v>0.06143344709897611</x:v>
      </x:c>
    </x:row>
    <x:row r="53" ht="20" customHeight="1">
      <x:c r="A53" s="71" t="n">
        <x:v>49</x:v>
      </x:c>
      <x:c r="B53" s="93" t="str">
        <x:v>高价区</x:v>
      </x:c>
      <x:c r="C53" s="83" t="n">
        <x:v>658</x:v>
      </x:c>
      <x:c r="D53" s="83" t="n">
        <x:f>C53-C52</x:f>
        <x:v>36</x:v>
      </x:c>
      <x:c r="E53" s="83" t="n">
        <x:f>C53/2</x:f>
        <x:v>329</x:v>
      </x:c>
      <x:c r="F53" s="88" t="n">
        <x:f>D53/C52</x:f>
        <x:v>0.05787781350482315</x:v>
      </x:c>
    </x:row>
    <x:row r="54" ht="20" customHeight="1">
      <x:c r="A54" s="71" t="n">
        <x:v>50</x:v>
      </x:c>
      <x:c r="B54" s="93" t="str">
        <x:v>高价区</x:v>
      </x:c>
      <x:c r="C54" s="83" t="n">
        <x:v>696</x:v>
      </x:c>
      <x:c r="D54" s="83" t="n">
        <x:f>C54-C53</x:f>
        <x:v>38</x:v>
      </x:c>
      <x:c r="E54" s="83" t="n">
        <x:f>C54/2</x:f>
        <x:v>348</x:v>
      </x:c>
      <x:c r="F54" s="88" t="n">
        <x:f>D54/C53</x:f>
        <x:v>0.057750759878419454</x:v>
      </x:c>
    </x:row>
    <x:row r="55" ht="20" customHeight="1">
      <x:c r="A55" s="73" t="n">
        <x:v>51</x:v>
      </x:c>
      <x:c r="B55" s="94" t="str">
        <x:v>高价区</x:v>
      </x:c>
      <x:c r="C55" s="84" t="n">
        <x:v>734</x:v>
      </x:c>
      <x:c r="D55" s="84" t="n">
        <x:f>C55-C54</x:f>
        <x:v>38</x:v>
      </x:c>
      <x:c r="E55" s="84" t="n">
        <x:f>C55/2</x:f>
        <x:v>367</x:v>
      </x:c>
      <x:c r="F55" s="89" t="n">
        <x:f>D55/C54</x:f>
        <x:v>0.05459770114942529</x:v>
      </x:c>
    </x:row>
    <x:row r="57" ht="30" customHeight="1">
      <x:c r="A57" s="108" t="str">
        <x:v>高价区相邻价差从 22 万扩大到 38 万，每两个格位只增加 2 万；最高价由旧阶梯的 1092 降为 734。高位一格收益仍更高，但绝对收益上限与反向风险更可控。</x:v>
      </x:c>
      <x:c r="B57" s="109"/>
      <x:c r="C57" s="109"/>
      <x:c r="D57" s="109"/>
      <x:c r="E57" s="109"/>
      <x:c r="F57" s="110"/>
    </x:row>
    <x:row r="58" ht="30" customHeight="1">
      <x:c r="A58" s="111"/>
      <x:c r="B58" s="112"/>
      <x:c r="C58" s="112"/>
      <x:c r="D58" s="112"/>
      <x:c r="E58" s="112"/>
      <x:c r="F58" s="113"/>
    </x:row>
  </x:sheetData>
  <x:mergeCells>
    <x:mergeCell ref="A1:F1"/>
    <x:mergeCell ref="A2:F2"/>
    <x:mergeCell ref="A57:F58"/>
  </x:mergeCells>
  <x:pageMargins left="0.7" right="0.7" top="0.75" bottom="0.75" header="0.3" footer="0.3"/>
</x:worksheet>
</file>